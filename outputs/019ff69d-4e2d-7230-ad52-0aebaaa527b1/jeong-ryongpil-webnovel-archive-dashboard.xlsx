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drawings/charts/chart4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9e2254ffda64fe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91414eae8e184cab"/>
    <x:sheet xmlns:r="http://schemas.openxmlformats.org/officeDocument/2006/relationships" name="Data &amp; Targets" sheetId="2" r:id="Rb5ef77b5af1146ad"/>
    <x:sheet xmlns:r="http://schemas.openxmlformats.org/officeDocument/2006/relationships" name="_Chart Helpers" sheetId="3" r:id="R15fbe2b627f7430a"/>
    <x:sheet xmlns:r="http://schemas.openxmlformats.org/officeDocument/2006/relationships" name="Post Archive" sheetId="4" r:id="R427493629ed74bb6"/>
    <x:sheet xmlns:r="http://schemas.openxmlformats.org/officeDocument/2006/relationships" name="Evidence Review" sheetId="5" r:id="Rf28e86115c364bc3"/>
  </x:sheets>
</x:workbook>
</file>

<file path=xl/sharedStrings.xml><?xml version="1.0" encoding="utf-8"?>
<x:sst xmlns:x="http://schemas.openxmlformats.org/spreadsheetml/2006/main">
  <x:si>
    <x:t xml:space="preserve">SELECTED REPORTING PERIOD</x:t>
  </x:si>
  <x:si>
    <x:t xml:space="preserve">DATA CURRENT THROUGH</x:t>
  </x:si>
  <x:si>
    <x:t xml:space="preserve">TRIAL-TO-PAID</x:t>
  </x:si>
  <x:si>
    <x:t xml:space="preserve">MRR / ACTIVE USER</x:t>
  </x:si>
  <x:si>
    <x:t xml:space="preserve">ACTIVE USERS — ACTUAL VS TARGET</x:t>
  </x:si>
  <x:si>
    <x:t xml:space="preserve">MRR — ACTUAL VS TARGET</x:t>
  </x:si>
  <x:si>
    <x:t xml:space="preserve">CONVERSION FUNNEL — SELECTED PERIOD</x:t>
  </x:si>
  <x:si>
    <x:t xml:space="preserve">MRR MIX BY SEGMENT</x:t>
  </x:si>
  <x:si>
    <x:t xml:space="preserve">SELECTED-PERIOD VARIANCE</x:t>
  </x:si>
  <x:si>
    <x:t xml:space="preserve">HOW TO USE</x:t>
  </x:si>
  <x:si>
    <x:t xml:space="preserve">Paste or replace synthetic monthly actuals and targets in yellow cells B15:P26. Keep dates as real month-start dates.</x:t>
  </x:si>
  <x:si>
    <x:t xml:space="preserve">Choose Selected Period in C8. Dashboard KPIs, comparisons, variance status, funnel, and mix recalculate from that period.</x:t>
  </x:si>
  <x:si>
    <x:t xml:space="preserve">Synthetic generic example data for template review; replace only yellow inputs.</x:t>
  </x:si>
  <x:si>
    <x:t xml:space="preserve">MONTHLY ACTUALS &amp; TARGETS — EDIT YELLOW CELLS</x:t>
  </x:si>
</x:sst>
</file>

<file path=xl/styles.xml><?xml version="1.0" encoding="utf-8"?>
<x:styleSheet xmlns:x="http://schemas.openxmlformats.org/spreadsheetml/2006/main">
  <x:numFmts count="13">
    <x:numFmt numFmtId="164" formatCode="mmm\ yyyy"/>
    <x:numFmt numFmtId="165" formatCode="#,##0;[Red]\(#,##0\);\-"/>
    <x:numFmt numFmtId="166" formatCode="0.0%;[Red]\(0.0%\);\-"/>
    <x:numFmt numFmtId="167" formatCode="#,##0.0;[Red]\(#,##0.0\);\-"/>
    <x:numFmt numFmtId="168" formatCode="\$#,##0;[Red]\(\$#,##0\);\-"/>
    <x:numFmt numFmtId="169" formatCode="0.0\x"/>
    <x:numFmt numFmtId="170" formatCode="\$#,##0.0;[Red]\(\$#,##0.0\);\-"/>
    <x:numFmt numFmtId="171" formatCode="\+0.0%;\-0.0%;\-"/>
    <x:numFmt numFmtId="200" formatCode="yyyy-mm-dd"/>
    <x:numFmt numFmtId="201" formatCode="0"/>
    <x:numFmt numFmtId="202" formatCode="@"/>
    <x:numFmt numFmtId="203" formatCode="#,##0"/>
    <x:numFmt numFmtId="204" formatCode="0.0%"/>
  </x:numFmts>
  <x:fonts count="21">
    <x:font>
      <x:sz val="11"/>
      <x:name val="Arial"/>
    </x:font>
    <x:font>
      <x:b/>
      <x:sz val="14"/>
      <x:color rgb="FFFFFFFF"/>
      <x:name val="Arial"/>
    </x:font>
    <x:font>
      <x:b/>
      <x:sz val="10"/>
      <x:color rgb="FFD9E2EA"/>
      <x:name val="Arial"/>
    </x:font>
    <x:font>
      <x:b/>
      <x:sz val="10"/>
      <x:color rgb="FFFFFFFF"/>
      <x:name val="Arial"/>
    </x:font>
    <x:font>
      <x:sz val="9"/>
      <x:color rgb="FF17212B"/>
      <x:name val="Arial"/>
    </x:font>
    <x:font>
      <x:b/>
      <x:sz val="9"/>
      <x:color rgb="FFFFFFFF"/>
      <x:name val="Arial"/>
    </x:font>
    <x:font>
      <x:sz val="9"/>
      <x:color rgb="FFFFFFFF"/>
      <x:name val="Arial"/>
    </x:font>
    <x:font>
      <x:b/>
      <x:sz val="8"/>
      <x:color rgb="FFA7B4C2"/>
      <x:name val="Arial"/>
    </x:font>
    <x:font>
      <x:b/>
      <x:sz val="11"/>
      <x:color rgb="FFFFFFFF"/>
      <x:name val="Arial"/>
    </x:font>
    <x:font>
      <x:i/>
      <x:sz val="8"/>
      <x:color rgb="FFA7B4C2"/>
      <x:name val="Arial"/>
    </x:font>
    <x:font>
      <x:b/>
      <x:sz val="9"/>
      <x:color rgb="FFA7B4C2"/>
      <x:name val="Arial"/>
    </x:font>
    <x:font>
      <x:b/>
      <x:sz val="25"/>
      <x:color rgb="FFFFFFFF"/>
      <x:name val="Arial"/>
    </x:font>
    <x:font>
      <x:b/>
      <x:sz val="9"/>
      <x:color rgb="FF43D3FF"/>
      <x:name val="Arial"/>
    </x:font>
    <x:font>
      <x:sz val="8"/>
      <x:color rgb="FFA7B4C2"/>
      <x:name val="Arial"/>
    </x:font>
    <x:font>
      <x:sz val="9"/>
      <x:color rgb="FFA7B4C2"/>
      <x:name val="Arial"/>
    </x:font>
    <x:font>
      <x:i/>
      <x:sz val="9"/>
      <x:color rgb="FFA7B4C2"/>
      <x:name val="Arial"/>
    </x:font>
    <x:font>
      <x:sz val="11"/>
      <x:name val="Arial"/>
    </x:font>
    <x:font>
      <x:b/>
      <x:sz val="9"/>
      <x:color rgb="FF000000"/>
      <x:name val="Arial"/>
    </x:font>
    <x:font>
      <x:sz val="9"/>
      <x:color rgb="FF0000FF"/>
      <x:name val="Arial"/>
    </x:font>
    <x:font>
      <x:i/>
      <x:sz val="10"/>
      <x:color rgb="FFD9E2EA"/>
      <x:name val="Arial"/>
    </x:font>
    <x:font>
      <x:sz val="11"/>
      <x:color rgb="FF172B3A"/>
      <x:name val="Arial"/>
    </x:font>
  </x:fonts>
  <x:fills count="1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25313C"/>
      </x:patternFill>
    </x:fill>
    <x:fill>
      <x:patternFill patternType="solid">
        <x:fgColor rgb="FFF3F5F7"/>
      </x:patternFill>
    </x:fill>
    <x:fill>
      <x:patternFill patternType="solid">
        <x:fgColor rgb="FFFFF2CC"/>
      </x:patternFill>
    </x:fill>
    <x:fill>
      <x:patternFill patternType="solid">
        <x:fgColor rgb="FFFFFFFF"/>
      </x:patternFill>
    </x:fill>
    <x:fill>
      <x:patternFill patternType="solid">
        <x:fgColor rgb="FF244A6B"/>
      </x:patternFill>
    </x:fill>
    <x:fill>
      <x:patternFill patternType="solid">
        <x:fgColor rgb="FF0D1B2A"/>
      </x:patternFill>
    </x:fill>
    <x:fill>
      <x:patternFill patternType="solid">
        <x:fgColor rgb="FF19324A"/>
      </x:patternFill>
    </x:fill>
    <x:fill>
      <x:patternFill patternType="solid">
        <x:fgColor rgb="FF14263A"/>
      </x:patternFill>
    </x:fill>
    <x:fill>
      <x:patternFill patternType="solid">
        <x:fgColor rgb="FF223B53"/>
      </x:patternFill>
    </x:fill>
    <x:fill>
      <x:patternFill patternType="solid">
        <x:fgColor rgb="FF0D1B2A"/>
      </x:patternFill>
    </x:fill>
    <x:fill>
      <x:patternFill patternType="solid">
        <x:fgColor rgb="FF18344D"/>
      </x:patternFill>
    </x:fill>
  </x:fills>
  <x:borders count="23">
    <x:border/>
    <x:border>
      <x:left style="thin">
        <x:color rgb="FFD9E0E6"/>
      </x:left>
      <x:right style="thin">
        <x:color rgb="FFD9E0E6"/>
      </x:right>
      <x:top style="thin">
        <x:color rgb="FFD9E0E6"/>
      </x:top>
      <x:bottom style="thin">
        <x:color rgb="FFD9E0E6"/>
      </x:bottom>
    </x:border>
    <x:border>
      <x:left style="thin">
        <x:color rgb="FFD6C26E"/>
      </x:left>
      <x:right style="thin">
        <x:color rgb="FFD6C26E"/>
      </x:right>
      <x:top style="thin">
        <x:color rgb="FFD6C26E"/>
      </x:top>
      <x:bottom style="thin">
        <x:color rgb="FFD6C26E"/>
      </x:bottom>
    </x:border>
    <x:border>
      <x:left style="thin">
        <x:color rgb="FF31506B"/>
      </x:left>
      <x:top style="thin">
        <x:color rgb="FF31506B"/>
      </x:top>
      <x:bottom style="thin">
        <x:color rgb="FF31506B"/>
      </x:bottom>
    </x:border>
    <x:border>
      <x:top style="thin">
        <x:color rgb="FF31506B"/>
      </x:top>
      <x:bottom style="thin">
        <x:color rgb="FF31506B"/>
      </x:bottom>
    </x:border>
    <x:border>
      <x:right style="thin">
        <x:color rgb="FF31506B"/>
      </x:right>
      <x:top style="thin">
        <x:color rgb="FF31506B"/>
      </x:top>
      <x:bottom style="thin">
        <x:color rgb="FF31506B"/>
      </x:bottom>
    </x:border>
    <x:border>
      <x:left style="thin">
        <x:color rgb="FF31506B"/>
      </x:left>
      <x:top style="thin">
        <x:color rgb="FF31506B"/>
      </x:top>
    </x:border>
    <x:border>
      <x:top style="thin">
        <x:color rgb="FF31506B"/>
      </x:top>
    </x:border>
    <x:border>
      <x:right style="thin">
        <x:color rgb="FF31506B"/>
      </x:right>
      <x:top style="thin">
        <x:color rgb="FF31506B"/>
      </x:top>
    </x:border>
    <x:border>
      <x:left style="thin">
        <x:color rgb="FF31506B"/>
      </x:left>
    </x:border>
    <x:border>
      <x:right style="thin">
        <x:color rgb="FF31506B"/>
      </x:right>
    </x:border>
    <x:border>
      <x:left style="thin">
        <x:color rgb="FF31506B"/>
      </x:left>
      <x:bottom style="thin">
        <x:color rgb="FF31506B"/>
      </x:bottom>
    </x:border>
    <x:border>
      <x:bottom style="thin">
        <x:color rgb="FF31506B"/>
      </x:bottom>
    </x:border>
    <x:border>
      <x:right style="thin">
        <x:color rgb="FF31506B"/>
      </x:right>
      <x:bottom style="thin">
        <x:color rgb="FF31506B"/>
      </x:bottom>
    </x:border>
    <x:border>
      <x:right style="thin">
        <x:color rgb="FFD9E2EA"/>
      </x:right>
      <x:bottom style="thin">
        <x:color rgb="FFD9E2EA"/>
      </x:bottom>
    </x:border>
    <x:border>
      <x:left style="thin">
        <x:color rgb="FFD9E2EA"/>
      </x:left>
      <x:right style="thin">
        <x:color rgb="FFD9E2EA"/>
      </x:right>
      <x:bottom style="thin">
        <x:color rgb="FFD9E2EA"/>
      </x:bottom>
    </x:border>
    <x:border>
      <x:left style="thin">
        <x:color rgb="FFD9E2EA"/>
      </x:left>
      <x:bottom style="thin">
        <x:color rgb="FFD9E2EA"/>
      </x:bottom>
    </x:border>
    <x:border>
      <x:right style="thin">
        <x:color rgb="FFD9E2EA"/>
      </x:right>
      <x:top style="thin">
        <x:color rgb="FFD9E2EA"/>
      </x:top>
      <x:bottom style="thin">
        <x:color rgb="FFD9E2EA"/>
      </x:bottom>
    </x:border>
    <x:border>
      <x:left style="thin">
        <x:color rgb="FFD9E2EA"/>
      </x:left>
      <x:right style="thin">
        <x:color rgb="FFD9E2EA"/>
      </x:right>
      <x:top style="thin">
        <x:color rgb="FFD9E2EA"/>
      </x:top>
      <x:bottom style="thin">
        <x:color rgb="FFD9E2EA"/>
      </x:bottom>
    </x:border>
    <x:border>
      <x:left style="thin">
        <x:color rgb="FFD9E2EA"/>
      </x:left>
      <x:top style="thin">
        <x:color rgb="FFD9E2EA"/>
      </x:top>
      <x:bottom style="thin">
        <x:color rgb="FFD9E2EA"/>
      </x:bottom>
    </x:border>
    <x:border>
      <x:right style="thin">
        <x:color rgb="FFD9E2EA"/>
      </x:right>
      <x:top style="thin">
        <x:color rgb="FFD9E2EA"/>
      </x:top>
    </x:border>
    <x:border>
      <x:left style="thin">
        <x:color rgb="FFD9E2EA"/>
      </x:left>
      <x:right style="thin">
        <x:color rgb="FFD9E2EA"/>
      </x:right>
      <x:top style="thin">
        <x:color rgb="FFD9E2EA"/>
      </x:top>
    </x:border>
    <x:border>
      <x:left style="thin">
        <x:color rgb="FFD9E2EA"/>
      </x:left>
      <x:top style="thin">
        <x:color rgb="FFD9E2EA"/>
      </x:top>
    </x:border>
  </x:borders>
  <x:cellStyleXfs count="1">
    <x:xf numFmtId="0" fontId="0" fillId="0" borderId="0"/>
  </x:cellStyleXfs>
  <x:cellXfs count="180">
    <x:xf numFmtId="0" fontId="0" fillId="0" borderId="0" xfId="0"/>
    <x:xf numFmtId="0" fontId="5" fillId="3" borderId="1" xfId="0" applyFont="1" applyFill="1" applyBorder="1" applyAlignment="1">
      <x:alignment horizontal="left" vertical="center" wrapText="1"/>
    </x:xf>
    <x:xf numFmtId="0" fontId="5" fillId="2" borderId="1" xfId="0" applyFont="1" applyFill="1" applyBorder="1" applyAlignment="1">
      <x:alignment horizontal="center" vertical="center" wrapText="1"/>
    </x:xf>
    <x:xf numFmtId="0" fontId="5" fillId="3" borderId="1" xfId="0" applyFont="1" applyFill="1" applyBorder="1" applyAlignment="1">
      <x:alignment horizontal="center" vertical="center" wrapText="1"/>
    </x:xf>
    <x:xf numFmtId="0" fontId="4" fillId="6" borderId="1" xfId="0" applyFont="1" applyFill="1" applyBorder="1" applyAlignment="1">
      <x:alignment horizontal="left" vertical="center"/>
    </x:xf>
    <x:xf numFmtId="0" fontId="4" fillId="4" borderId="1" xfId="0" applyFont="1" applyFill="1" applyBorder="1" applyAlignment="1">
      <x:alignment horizontal="left" vertical="center"/>
    </x:xf>
    <x:xf numFmtId="165" fontId="4" fillId="6" borderId="1" xfId="0" applyNumberFormat="1" applyFont="1" applyFill="1" applyBorder="1" applyAlignment="1">
      <x:alignment horizontal="left" vertical="center"/>
    </x:xf>
    <x:xf numFmtId="166" fontId="4" fillId="6" borderId="1" xfId="0" applyNumberFormat="1" applyFont="1" applyFill="1" applyBorder="1" applyAlignment="1">
      <x:alignment horizontal="left" vertical="center"/>
    </x:xf>
    <x:xf numFmtId="167" fontId="4" fillId="6" borderId="1" xfId="0" applyNumberFormat="1" applyFont="1" applyFill="1" applyBorder="1" applyAlignment="1">
      <x:alignment horizontal="left" vertical="center"/>
    </x:xf>
    <x:xf numFmtId="168" fontId="4" fillId="6" borderId="1" xfId="0" applyNumberFormat="1" applyFont="1" applyFill="1" applyBorder="1" applyAlignment="1">
      <x:alignment horizontal="left" vertical="center"/>
    </x:xf>
    <x:xf numFmtId="170" fontId="4" fillId="6" borderId="1" xfId="0" applyNumberFormat="1" applyFont="1" applyFill="1" applyBorder="1" applyAlignment="1">
      <x:alignment horizontal="left" vertical="center"/>
    </x:xf>
    <x:xf numFmtId="17" fontId="4" fillId="6" borderId="1" xfId="0" applyNumberFormat="1" applyFont="1" applyFill="1" applyBorder="1" applyAlignment="1">
      <x:alignment horizontal="left" vertical="center"/>
    </x:xf>
    <x:xf numFmtId="0" fontId="6" fillId="8" borderId="0" xfId="0" applyFont="1" applyFill="1" applyAlignment="1">
      <x:alignment vertical="center"/>
    </x:xf>
    <x:xf numFmtId="171" fontId="12" fillId="10" borderId="11" xfId="0" applyNumberFormat="1" applyFont="1" applyFill="1" applyBorder="1" applyAlignment="1">
      <x:alignment horizontal="right" vertical="center"/>
    </x:xf>
    <x:xf numFmtId="0" fontId="13" fillId="10" borderId="12" xfId="0" applyFont="1" applyFill="1" applyBorder="1" applyAlignment="1">
      <x:alignment horizontal="left" vertical="center"/>
    </x:xf>
    <x:xf numFmtId="171" fontId="5" fillId="10" borderId="12" xfId="0" applyNumberFormat="1" applyFont="1" applyFill="1" applyBorder="1" applyAlignment="1">
      <x:alignment horizontal="right" vertical="center"/>
    </x:xf>
    <x:xf numFmtId="0" fontId="13" fillId="10" borderId="13" xfId="0" applyFont="1" applyFill="1" applyBorder="1" applyAlignment="1">
      <x:alignment horizontal="left" vertical="center"/>
    </x:xf>
    <x:xf numFmtId="0" fontId="5" fillId="11" borderId="1" xfId="0" applyFont="1" applyFill="1" applyBorder="1" applyAlignment="1">
      <x:alignment horizontal="center" vertical="center" wrapText="1"/>
    </x:xf>
    <x:xf numFmtId="0" fontId="5" fillId="10" borderId="1" xfId="0" applyFont="1" applyFill="1" applyBorder="1" applyAlignment="1">
      <x:alignment horizontal="left" vertical="center"/>
    </x:xf>
    <x:xf numFmtId="0" fontId="6" fillId="10" borderId="1" xfId="0" applyFont="1" applyFill="1" applyBorder="1" applyAlignment="1">
      <x:alignment horizontal="center" vertical="center"/>
    </x:xf>
    <x:xf numFmtId="165" fontId="6" fillId="10" borderId="1" xfId="0" applyNumberFormat="1" applyFont="1" applyFill="1" applyBorder="1" applyAlignment="1">
      <x:alignment horizontal="right" vertical="center"/>
    </x:xf>
    <x:xf numFmtId="166" fontId="6" fillId="10" borderId="1" xfId="0" applyNumberFormat="1" applyFont="1" applyFill="1" applyBorder="1" applyAlignment="1">
      <x:alignment horizontal="right" vertical="center"/>
    </x:xf>
    <x:xf numFmtId="167" fontId="6" fillId="10" borderId="1" xfId="0" applyNumberFormat="1" applyFont="1" applyFill="1" applyBorder="1" applyAlignment="1">
      <x:alignment horizontal="right" vertical="center"/>
    </x:xf>
    <x:xf numFmtId="168" fontId="6" fillId="10" borderId="1" xfId="0" applyNumberFormat="1" applyFont="1" applyFill="1" applyBorder="1" applyAlignment="1">
      <x:alignment horizontal="right" vertical="center"/>
    </x:xf>
    <x:xf numFmtId="170" fontId="6" fillId="10" borderId="1" xfId="0" applyNumberFormat="1" applyFont="1" applyFill="1" applyBorder="1" applyAlignment="1">
      <x:alignment horizontal="right" vertical="center"/>
    </x:xf>
    <x:xf numFmtId="164" fontId="17" fillId="6" borderId="1" xfId="0" applyNumberFormat="1" applyFont="1" applyFill="1" applyBorder="1" applyAlignment="1">
      <x:alignment horizontal="left" vertical="center"/>
    </x:xf>
    <x:xf numFmtId="0" fontId="17" fillId="4" borderId="1" xfId="0" applyFont="1" applyFill="1" applyBorder="1" applyAlignment="1">
      <x:alignment horizontal="left" vertical="center"/>
    </x:xf>
    <x:xf numFmtId="0" fontId="0" fillId="0" borderId="0" xfId="0" applyAlignment="1">
      <x:alignment vertical="center"/>
    </x:xf>
    <x:xf numFmtId="0" fontId="16" fillId="0" borderId="0" xfId="0" applyFont="1" applyAlignment="1">
      <x:alignment vertical="center"/>
    </x:xf>
    <x:xf numFmtId="164" fontId="18" fillId="5" borderId="2" xfId="0" applyNumberFormat="1" applyFont="1" applyFill="1" applyBorder="1" applyAlignment="1">
      <x:alignment horizontal="left" vertical="center"/>
    </x:xf>
    <x:xf numFmtId="164" fontId="18" fillId="5" borderId="2" xfId="0" applyNumberFormat="1" applyFont="1" applyFill="1" applyBorder="1" applyAlignment="1">
      <x:alignment horizontal="right" vertical="center"/>
    </x:xf>
    <x:xf numFmtId="165" fontId="18" fillId="5" borderId="2" xfId="0" applyNumberFormat="1" applyFont="1" applyFill="1" applyBorder="1" applyAlignment="1">
      <x:alignment horizontal="right" vertical="center"/>
    </x:xf>
    <x:xf numFmtId="166" fontId="18" fillId="5" borderId="2" xfId="0" applyNumberFormat="1" applyFont="1" applyFill="1" applyBorder="1" applyAlignment="1">
      <x:alignment horizontal="right" vertical="center"/>
    </x:xf>
    <x:xf numFmtId="167" fontId="18" fillId="5" borderId="2" xfId="0" applyNumberFormat="1" applyFont="1" applyFill="1" applyBorder="1" applyAlignment="1">
      <x:alignment horizontal="right" vertical="center"/>
    </x:xf>
    <x:xf numFmtId="168" fontId="18" fillId="5" borderId="2" xfId="0" applyNumberFormat="1" applyFont="1" applyFill="1" applyBorder="1" applyAlignment="1">
      <x:alignment horizontal="right" vertical="center"/>
    </x:xf>
    <x:xf numFmtId="169" fontId="18" fillId="5" borderId="2" xfId="0" applyNumberFormat="1" applyFont="1" applyFill="1" applyBorder="1" applyAlignment="1">
      <x:alignment horizontal="right" vertical="center"/>
    </x:xf>
    <x:xf numFmtId="0" fontId="1" fillId="12" borderId="0" xfId="0" applyFont="1" applyFill="1" applyAlignment="1">
      <x:alignment vertical="center"/>
    </x:xf>
    <x:xf numFmtId="0" fontId="2" fillId="12" borderId="0" xfId="0" applyFont="1" applyFill="1" applyAlignment="1">
      <x:alignment vertical="center"/>
    </x:xf>
    <x:xf numFmtId="0" fontId="19" fillId="12" borderId="0" xfId="0" applyFont="1" applyFill="1" applyAlignment="1">
      <x:alignment vertical="center"/>
    </x:xf>
    <x:xf numFmtId="0" fontId="1" fillId="8" borderId="0" xfId="0" applyFont="1" applyFill="1" applyAlignment="1">
      <x:alignment vertical="center"/>
    </x:xf>
    <x:xf numFmtId="0" fontId="7" fillId="9" borderId="3" xfId="0" applyFont="1" applyFill="1" applyBorder="1" applyAlignment="1">
      <x:alignment horizontal="left" vertical="center"/>
    </x:xf>
    <x:xf numFmtId="0" fontId="7" fillId="9" borderId="4" xfId="0" applyFont="1" applyFill="1" applyBorder="1" applyAlignment="1">
      <x:alignment horizontal="left" vertical="center"/>
    </x:xf>
    <x:xf numFmtId="0" fontId="7" fillId="9" borderId="5" xfId="0" applyFont="1" applyFill="1" applyBorder="1" applyAlignment="1">
      <x:alignment horizontal="left" vertical="center"/>
    </x:xf>
    <x:xf numFmtId="164" fontId="8" fillId="9" borderId="3" xfId="0" applyNumberFormat="1" applyFont="1" applyFill="1" applyBorder="1" applyAlignment="1">
      <x:alignment horizontal="left" vertical="center"/>
    </x:xf>
    <x:xf numFmtId="164" fontId="8" fillId="9" borderId="4" xfId="0" applyNumberFormat="1" applyFont="1" applyFill="1" applyBorder="1" applyAlignment="1">
      <x:alignment horizontal="left" vertical="center"/>
    </x:xf>
    <x:xf numFmtId="164" fontId="8" fillId="9" borderId="5" xfId="0" applyNumberFormat="1" applyFont="1" applyFill="1" applyBorder="1" applyAlignment="1">
      <x:alignment horizontal="left" vertical="center"/>
    </x:xf>
    <x:xf numFmtId="0" fontId="9" fillId="8" borderId="0" xfId="0" applyFont="1" applyFill="1" applyAlignment="1">
      <x:alignment horizontal="left" vertical="center"/>
    </x:xf>
    <x:xf numFmtId="0" fontId="10" fillId="10" borderId="6" xfId="0" applyFont="1" applyFill="1" applyBorder="1" applyAlignment="1">
      <x:alignment horizontal="left" vertical="center"/>
    </x:xf>
    <x:xf numFmtId="0" fontId="10" fillId="10" borderId="7" xfId="0" applyFont="1" applyFill="1" applyBorder="1" applyAlignment="1">
      <x:alignment horizontal="left" vertical="center"/>
    </x:xf>
    <x:xf numFmtId="0" fontId="10" fillId="10" borderId="8" xfId="0" applyFont="1" applyFill="1" applyBorder="1" applyAlignment="1">
      <x:alignment horizontal="left" vertical="center"/>
    </x:xf>
    <x:xf numFmtId="165" fontId="11" fillId="10" borderId="9" xfId="0" applyNumberFormat="1" applyFont="1" applyFill="1" applyBorder="1" applyAlignment="1">
      <x:alignment horizontal="left" vertical="center"/>
    </x:xf>
    <x:xf numFmtId="165" fontId="11" fillId="10" borderId="0" xfId="0" applyNumberFormat="1" applyFont="1" applyFill="1" applyAlignment="1">
      <x:alignment horizontal="left" vertical="center"/>
    </x:xf>
    <x:xf numFmtId="165" fontId="11" fillId="10" borderId="10" xfId="0" applyNumberFormat="1" applyFont="1" applyFill="1" applyBorder="1" applyAlignment="1">
      <x:alignment horizontal="left" vertical="center"/>
    </x:xf>
    <x:xf numFmtId="166" fontId="11" fillId="10" borderId="9" xfId="0" applyNumberFormat="1" applyFont="1" applyFill="1" applyBorder="1" applyAlignment="1">
      <x:alignment horizontal="left" vertical="center"/>
    </x:xf>
    <x:xf numFmtId="166" fontId="11" fillId="10" borderId="0" xfId="0" applyNumberFormat="1" applyFont="1" applyFill="1" applyAlignment="1">
      <x:alignment horizontal="left" vertical="center"/>
    </x:xf>
    <x:xf numFmtId="166" fontId="11" fillId="10" borderId="10" xfId="0" applyNumberFormat="1" applyFont="1" applyFill="1" applyBorder="1" applyAlignment="1">
      <x:alignment horizontal="left" vertical="center"/>
    </x:xf>
    <x:xf numFmtId="0" fontId="3" fillId="9" borderId="0" xfId="0" applyFont="1" applyFill="1" applyAlignment="1">
      <x:alignment horizontal="left" vertical="center"/>
    </x:xf>
    <x:xf numFmtId="0" fontId="14" fillId="10" borderId="6" xfId="0" applyFont="1" applyFill="1" applyBorder="1" applyAlignment="1">
      <x:alignment horizontal="left" vertical="center" wrapText="1"/>
    </x:xf>
    <x:xf numFmtId="0" fontId="14" fillId="10" borderId="7" xfId="0" applyFont="1" applyFill="1" applyBorder="1" applyAlignment="1">
      <x:alignment horizontal="left" vertical="center" wrapText="1"/>
    </x:xf>
    <x:xf numFmtId="0" fontId="14" fillId="10" borderId="8" xfId="0" applyFont="1" applyFill="1" applyBorder="1" applyAlignment="1">
      <x:alignment horizontal="left" vertical="center" wrapText="1"/>
    </x:xf>
    <x:xf numFmtId="0" fontId="14" fillId="10" borderId="9" xfId="0" applyFont="1" applyFill="1" applyBorder="1" applyAlignment="1">
      <x:alignment horizontal="left" vertical="center" wrapText="1"/>
    </x:xf>
    <x:xf numFmtId="0" fontId="14" fillId="10" borderId="0" xfId="0" applyFont="1" applyFill="1" applyAlignment="1">
      <x:alignment horizontal="left" vertical="center" wrapText="1"/>
    </x:xf>
    <x:xf numFmtId="0" fontId="14" fillId="10" borderId="10" xfId="0" applyFont="1" applyFill="1" applyBorder="1" applyAlignment="1">
      <x:alignment horizontal="left" vertical="center" wrapText="1"/>
    </x:xf>
    <x:xf numFmtId="0" fontId="14" fillId="10" borderId="11" xfId="0" applyFont="1" applyFill="1" applyBorder="1" applyAlignment="1">
      <x:alignment horizontal="left" vertical="center" wrapText="1"/>
    </x:xf>
    <x:xf numFmtId="0" fontId="14" fillId="10" borderId="12" xfId="0" applyFont="1" applyFill="1" applyBorder="1" applyAlignment="1">
      <x:alignment horizontal="left" vertical="center" wrapText="1"/>
    </x:xf>
    <x:xf numFmtId="0" fontId="14" fillId="10" borderId="13" xfId="0" applyFont="1" applyFill="1" applyBorder="1" applyAlignment="1">
      <x:alignment horizontal="left" vertical="center" wrapText="1"/>
    </x:xf>
    <x:xf numFmtId="0" fontId="15" fillId="9" borderId="6" xfId="0" applyFont="1" applyFill="1" applyBorder="1" applyAlignment="1">
      <x:alignment horizontal="left" vertical="center" wrapText="1"/>
    </x:xf>
    <x:xf numFmtId="0" fontId="15" fillId="9" borderId="7" xfId="0" applyFont="1" applyFill="1" applyBorder="1" applyAlignment="1">
      <x:alignment horizontal="left" vertical="center" wrapText="1"/>
    </x:xf>
    <x:xf numFmtId="0" fontId="15" fillId="9" borderId="8" xfId="0" applyFont="1" applyFill="1" applyBorder="1" applyAlignment="1">
      <x:alignment horizontal="left" vertical="center" wrapText="1"/>
    </x:xf>
    <x:xf numFmtId="0" fontId="15" fillId="9" borderId="9" xfId="0" applyFont="1" applyFill="1" applyBorder="1" applyAlignment="1">
      <x:alignment horizontal="left" vertical="center" wrapText="1"/>
    </x:xf>
    <x:xf numFmtId="0" fontId="15" fillId="9" borderId="0" xfId="0" applyFont="1" applyFill="1" applyAlignment="1">
      <x:alignment horizontal="left" vertical="center" wrapText="1"/>
    </x:xf>
    <x:xf numFmtId="0" fontId="15" fillId="9" borderId="10" xfId="0" applyFont="1" applyFill="1" applyBorder="1" applyAlignment="1">
      <x:alignment horizontal="left" vertical="center" wrapText="1"/>
    </x:xf>
    <x:xf numFmtId="0" fontId="15" fillId="9" borderId="11" xfId="0" applyFont="1" applyFill="1" applyBorder="1" applyAlignment="1">
      <x:alignment horizontal="left" vertical="center" wrapText="1"/>
    </x:xf>
    <x:xf numFmtId="0" fontId="15" fillId="9" borderId="12" xfId="0" applyFont="1" applyFill="1" applyBorder="1" applyAlignment="1">
      <x:alignment horizontal="left" vertical="center" wrapText="1"/>
    </x:xf>
    <x:xf numFmtId="0" fontId="15" fillId="9" borderId="13" xfId="0" applyFont="1" applyFill="1" applyBorder="1" applyAlignment="1">
      <x:alignment horizontal="left" vertical="center" wrapText="1"/>
    </x:xf>
    <x:xf numFmtId="170" fontId="11" fillId="10" borderId="9" xfId="0" applyNumberFormat="1" applyFont="1" applyFill="1" applyBorder="1" applyAlignment="1">
      <x:alignment horizontal="left" vertical="center"/>
    </x:xf>
    <x:xf numFmtId="170" fontId="11" fillId="10" borderId="0" xfId="0" applyNumberFormat="1" applyFont="1" applyFill="1" applyAlignment="1">
      <x:alignment horizontal="left" vertical="center"/>
    </x:xf>
    <x:xf numFmtId="170" fontId="11" fillId="10" borderId="10" xfId="0" applyNumberFormat="1" applyFont="1" applyFill="1" applyBorder="1" applyAlignment="1">
      <x:alignment horizontal="left" vertical="center"/>
    </x:xf>
    <x:xf numFmtId="167" fontId="11" fillId="10" borderId="9" xfId="0" applyNumberFormat="1" applyFont="1" applyFill="1" applyBorder="1" applyAlignment="1">
      <x:alignment horizontal="left" vertical="center"/>
    </x:xf>
    <x:xf numFmtId="167" fontId="11" fillId="10" borderId="0" xfId="0" applyNumberFormat="1" applyFont="1" applyFill="1" applyAlignment="1">
      <x:alignment horizontal="left" vertical="center"/>
    </x:xf>
    <x:xf numFmtId="167" fontId="11" fillId="10" borderId="10" xfId="0" applyNumberFormat="1" applyFont="1" applyFill="1" applyBorder="1" applyAlignment="1">
      <x:alignment horizontal="left" vertical="center"/>
    </x:xf>
    <x:xf numFmtId="168" fontId="11" fillId="10" borderId="9" xfId="0" applyNumberFormat="1" applyFont="1" applyFill="1" applyBorder="1" applyAlignment="1">
      <x:alignment horizontal="left" vertical="center"/>
    </x:xf>
    <x:xf numFmtId="168" fontId="11" fillId="10" borderId="0" xfId="0" applyNumberFormat="1" applyFont="1" applyFill="1" applyAlignment="1">
      <x:alignment horizontal="left" vertical="center"/>
    </x:xf>
    <x:xf numFmtId="168" fontId="11" fillId="10" borderId="10" xfId="0" applyNumberFormat="1" applyFont="1" applyFill="1" applyBorder="1" applyAlignment="1">
      <x:alignment horizontal="left" vertical="center"/>
    </x:xf>
    <x:xf numFmtId="0" fontId="4" fillId="6" borderId="1" xfId="0" applyFont="1" applyFill="1" applyBorder="1" applyAlignment="1">
      <x:alignment horizontal="left" vertical="center" wrapText="1"/>
    </x:xf>
    <x:xf numFmtId="0" fontId="3" fillId="7" borderId="0" xfId="0" applyFont="1" applyFill="1" applyAlignment="1">
      <x:alignment horizontal="left" vertical="center"/>
    </x:xf>
    <x:xf numFmtId="0" fontId="5" fillId="7" borderId="0" xfId="0" applyFont="1" applyFill="1" applyAlignment="1">
      <x:alignment horizontal="left" vertical="center"/>
    </x:xf>
    <x:xf numFmtId="0" fontId="3" fillId="3" borderId="0" xfId="0" applyFont="1" applyFill="1" applyAlignment="1">
      <x:alignment horizontal="left" vertical="center"/>
    </x:xf>
    <x:xf numFmtId="0" fontId="4" fillId="4" borderId="1" xfId="0" applyFont="1" applyFill="1" applyBorder="1" applyAlignment="1">
      <x:alignment horizontal="left" vertical="center" wrapText="1"/>
    </x:xf>
    <x:xf numFmtId="0" fontId="0" fillId="13" borderId="0" xfId="0" applyNumberFormat="1" applyFont="1" applyFill="1" applyBorder="1"/>
    <x:xf numFmtId="0" fontId="8" fillId="13" borderId="0" xfId="0" applyNumberFormat="1" applyFont="1" applyFill="1" applyBorder="1"/>
    <x:xf numFmtId="0" fontId="8" fillId="13" borderId="0" xfId="0" applyNumberFormat="1" applyFont="1" applyFill="1" applyBorder="1" applyAlignment="1">
      <x:alignment vertical="center"/>
    </x:xf>
    <x:xf numFmtId="0" fontId="20" fillId="0" borderId="0" xfId="0" applyNumberFormat="1" applyFont="1" applyFill="1" applyBorder="1"/>
    <x:xf numFmtId="0" fontId="20" fillId="0" borderId="0" xfId="0" applyNumberFormat="1" applyFont="1" applyFill="1" applyBorder="1" applyAlignment="1">
      <x:alignment vertical="top"/>
    </x:xf>
    <x:xf numFmtId="200" fontId="20" fillId="0" borderId="0" xfId="0" applyNumberFormat="1" applyFont="1" applyFill="1" applyBorder="1" applyAlignment="1">
      <x:alignment vertical="top"/>
    </x:xf>
    <x:xf numFmtId="201" fontId="20" fillId="0" borderId="0" xfId="0" applyNumberFormat="1" applyFont="1" applyFill="1" applyBorder="1" applyAlignment="1">
      <x:alignment vertical="top"/>
    </x:xf>
    <x:xf numFmtId="202" fontId="20" fillId="0" borderId="0" xfId="0" applyNumberFormat="1" applyFont="1" applyFill="1" applyBorder="1" applyAlignment="1">
      <x:alignment vertical="top"/>
    </x:xf>
    <x:xf numFmtId="0" fontId="8" fillId="13" borderId="14" xfId="0" applyNumberFormat="1" applyFont="1" applyFill="1" applyBorder="1" applyAlignment="1">
      <x:alignment vertical="center"/>
    </x:xf>
    <x:xf numFmtId="0" fontId="8" fillId="13" borderId="15" xfId="0" applyNumberFormat="1" applyFont="1" applyFill="1" applyBorder="1" applyAlignment="1">
      <x:alignment vertical="center"/>
    </x:xf>
    <x:xf numFmtId="0" fontId="8" fillId="13" borderId="16" xfId="0" applyNumberFormat="1" applyFont="1" applyFill="1" applyBorder="1" applyAlignment="1">
      <x:alignment vertical="center"/>
    </x:xf>
    <x:xf numFmtId="0" fontId="20" fillId="0" borderId="17" xfId="0" applyNumberFormat="1" applyFont="1" applyFill="1" applyBorder="1" applyAlignment="1">
      <x:alignment vertical="top"/>
    </x:xf>
    <x:xf numFmtId="200" fontId="20" fillId="0" borderId="18" xfId="0" applyNumberFormat="1" applyFont="1" applyFill="1" applyBorder="1" applyAlignment="1">
      <x:alignment vertical="top"/>
    </x:xf>
    <x:xf numFmtId="201" fontId="20" fillId="0" borderId="18" xfId="0" applyNumberFormat="1" applyFont="1" applyFill="1" applyBorder="1" applyAlignment="1">
      <x:alignment vertical="top"/>
    </x:xf>
    <x:xf numFmtId="202" fontId="20" fillId="0" borderId="18" xfId="0" applyNumberFormat="1" applyFont="1" applyFill="1" applyBorder="1" applyAlignment="1">
      <x:alignment vertical="top"/>
    </x:xf>
    <x:xf numFmtId="0" fontId="20" fillId="0" borderId="18" xfId="0" applyNumberFormat="1" applyFont="1" applyFill="1" applyBorder="1" applyAlignment="1">
      <x:alignment vertical="top"/>
    </x:xf>
    <x:xf numFmtId="0" fontId="20" fillId="0" borderId="19" xfId="0" applyNumberFormat="1" applyFont="1" applyFill="1" applyBorder="1" applyAlignment="1">
      <x:alignment vertical="top"/>
    </x:xf>
    <x:xf numFmtId="0" fontId="20" fillId="0" borderId="20" xfId="0" applyNumberFormat="1" applyFont="1" applyFill="1" applyBorder="1" applyAlignment="1">
      <x:alignment vertical="top"/>
    </x:xf>
    <x:xf numFmtId="200" fontId="20" fillId="0" borderId="21" xfId="0" applyNumberFormat="1" applyFont="1" applyFill="1" applyBorder="1" applyAlignment="1">
      <x:alignment vertical="top"/>
    </x:xf>
    <x:xf numFmtId="201" fontId="20" fillId="0" borderId="21" xfId="0" applyNumberFormat="1" applyFont="1" applyFill="1" applyBorder="1" applyAlignment="1">
      <x:alignment vertical="top"/>
    </x:xf>
    <x:xf numFmtId="202" fontId="20" fillId="0" borderId="21" xfId="0" applyNumberFormat="1" applyFont="1" applyFill="1" applyBorder="1" applyAlignment="1">
      <x:alignment vertical="top"/>
    </x:xf>
    <x:xf numFmtId="0" fontId="20" fillId="0" borderId="21" xfId="0" applyNumberFormat="1" applyFont="1" applyFill="1" applyBorder="1" applyAlignment="1">
      <x:alignment vertical="top"/>
    </x:xf>
    <x:xf numFmtId="0" fontId="20" fillId="0" borderId="22" xfId="0" applyNumberFormat="1" applyFont="1" applyFill="1" applyBorder="1" applyAlignment="1">
      <x:alignment vertical="top"/>
    </x:xf>
    <x:xf numFmtId="0" fontId="20" fillId="0" borderId="18" xfId="0" applyNumberFormat="1" applyFont="1" applyFill="1" applyBorder="1" applyAlignment="1">
      <x:alignment vertical="top" wrapText="1"/>
    </x:xf>
    <x:xf numFmtId="0" fontId="20" fillId="0" borderId="19" xfId="0" applyNumberFormat="1" applyFont="1" applyFill="1" applyBorder="1" applyAlignment="1">
      <x:alignment vertical="top" wrapText="1"/>
    </x:xf>
    <x:xf numFmtId="0" fontId="20" fillId="0" borderId="21" xfId="0" applyNumberFormat="1" applyFont="1" applyFill="1" applyBorder="1" applyAlignment="1">
      <x:alignment vertical="top" wrapText="1"/>
    </x:xf>
    <x:xf numFmtId="0" fontId="20" fillId="0" borderId="22" xfId="0" applyNumberFormat="1" applyFont="1" applyFill="1" applyBorder="1" applyAlignment="1">
      <x:alignment vertical="top" wrapText="1"/>
    </x:xf>
    <x:xf numFmtId="0" fontId="20" fillId="0" borderId="18" xfId="0" applyNumberFormat="1" applyFont="1" applyFill="1" applyBorder="1" applyAlignment="1">
      <x:alignment vertical="top" wrapText="0"/>
    </x:xf>
    <x:xf numFmtId="0" fontId="20" fillId="0" borderId="21" xfId="0" applyNumberFormat="1" applyFont="1" applyFill="1" applyBorder="1" applyAlignment="1">
      <x:alignment vertical="top" wrapText="0"/>
    </x:xf>
    <x:xf numFmtId="0" fontId="20" fillId="0" borderId="0" xfId="0" applyNumberFormat="1" applyFont="1" applyFill="1" applyBorder="1" applyAlignment="1">
      <x:alignment wrapText="1"/>
    </x:xf>
    <x:xf numFmtId="0" fontId="20" fillId="0" borderId="0" xfId="0" applyNumberFormat="1" applyFont="1" applyFill="1" applyBorder="1" applyAlignment="1">
      <x:alignment vertical="top" wrapText="1"/>
    </x:xf>
    <x:xf numFmtId="200" fontId="20" fillId="0" borderId="0" xfId="0" applyNumberFormat="1" applyFont="1" applyFill="1" applyBorder="1" applyAlignment="1">
      <x:alignment vertical="top" wrapText="1"/>
    </x:xf>
    <x:xf numFmtId="201" fontId="20" fillId="0" borderId="0" xfId="0" applyNumberFormat="1" applyFont="1" applyFill="1" applyBorder="1" applyAlignment="1">
      <x:alignment vertical="top" wrapText="1"/>
    </x:xf>
    <x:xf numFmtId="0" fontId="20" fillId="0" borderId="0" xfId="0" applyNumberFormat="1" applyFont="1" applyFill="1" applyBorder="1" applyAlignment="1">
      <x:alignment vertical="top" wrapText="0"/>
    </x:xf>
    <x:xf numFmtId="200" fontId="20" fillId="0" borderId="17" xfId="0" applyNumberFormat="1" applyFont="1" applyFill="1" applyBorder="1" applyAlignment="1">
      <x:alignment vertical="top" wrapText="1"/>
    </x:xf>
    <x:xf numFmtId="201" fontId="20" fillId="0" borderId="18" xfId="0" applyNumberFormat="1" applyFont="1" applyFill="1" applyBorder="1" applyAlignment="1">
      <x:alignment vertical="top" wrapText="1"/>
    </x:xf>
    <x:xf numFmtId="0" fontId="20" fillId="0" borderId="19" xfId="0" applyNumberFormat="1" applyFont="1" applyFill="1" applyBorder="1" applyAlignment="1">
      <x:alignment vertical="top" wrapText="0"/>
    </x:xf>
    <x:xf numFmtId="200" fontId="20" fillId="0" borderId="20" xfId="0" applyNumberFormat="1" applyFont="1" applyFill="1" applyBorder="1" applyAlignment="1">
      <x:alignment vertical="top" wrapText="1"/>
    </x:xf>
    <x:xf numFmtId="201" fontId="20" fillId="0" borderId="21" xfId="0" applyNumberFormat="1" applyFont="1" applyFill="1" applyBorder="1" applyAlignment="1">
      <x:alignment vertical="top" wrapText="1"/>
    </x:xf>
    <x:xf numFmtId="0" fontId="20" fillId="0" borderId="22" xfId="0" applyNumberFormat="1" applyFont="1" applyFill="1" applyBorder="1" applyAlignment="1">
      <x:alignment vertical="top" wrapText="0"/>
    </x:xf>
    <x:xf numFmtId="200" fontId="17" fillId="6" borderId="1" xfId="0" applyNumberFormat="1" applyFont="1" applyFill="1" applyBorder="1" applyAlignment="1">
      <x:alignment horizontal="left" vertical="center"/>
    </x:xf>
    <x:xf numFmtId="201" fontId="18" fillId="5" borderId="2" xfId="0" applyNumberFormat="1" applyFont="1" applyFill="1" applyBorder="1" applyAlignment="1">
      <x:alignment horizontal="right" vertical="center"/>
    </x:xf>
    <x:xf numFmtId="203" fontId="18" fillId="5" borderId="2" xfId="0" applyNumberFormat="1" applyFont="1" applyFill="1" applyBorder="1" applyAlignment="1">
      <x:alignment horizontal="right" vertical="center"/>
    </x:xf>
    <x:xf numFmtId="204" fontId="18" fillId="5" borderId="2" xfId="0" applyNumberFormat="1" applyFont="1" applyFill="1" applyBorder="1" applyAlignment="1">
      <x:alignment horizontal="right" vertical="center"/>
    </x:xf>
    <x:xf numFmtId="203" fontId="0" fillId="0" borderId="0" xfId="0" applyNumberFormat="1" applyFont="1" applyFill="1" applyBorder="1" applyAlignment="1">
      <x:alignment vertical="center"/>
    </x:xf>
    <x:xf numFmtId="0" fontId="5" fillId="7" borderId="14" xfId="0" applyNumberFormat="1" applyFont="1" applyFill="1" applyBorder="1" applyAlignment="1">
      <x:alignment horizontal="left" vertical="center"/>
    </x:xf>
    <x:xf numFmtId="0" fontId="5" fillId="7" borderId="16" xfId="0" applyNumberFormat="1" applyFont="1" applyFill="1" applyBorder="1" applyAlignment="1">
      <x:alignment horizontal="left" vertical="center"/>
    </x:xf>
    <x:xf numFmtId="0" fontId="5" fillId="3" borderId="17" xfId="0" applyNumberFormat="1" applyFont="1" applyFill="1" applyBorder="1" applyAlignment="1">
      <x:alignment horizontal="center" vertical="center" wrapText="1"/>
    </x:xf>
    <x:xf numFmtId="0" fontId="5" fillId="3" borderId="19" xfId="0" applyNumberFormat="1" applyFont="1" applyFill="1" applyBorder="1" applyAlignment="1">
      <x:alignment horizontal="center" vertical="center" wrapText="1"/>
    </x:xf>
    <x:xf numFmtId="0" fontId="4" fillId="6" borderId="17" xfId="0" applyNumberFormat="1" applyFont="1" applyFill="1" applyBorder="1" applyAlignment="1">
      <x:alignment horizontal="left" vertical="center"/>
    </x:xf>
    <x:xf numFmtId="203" fontId="18" fillId="5" borderId="19" xfId="0" applyNumberFormat="1" applyFont="1" applyFill="1" applyBorder="1" applyAlignment="1">
      <x:alignment horizontal="right" vertical="center"/>
    </x:xf>
    <x:xf numFmtId="0" fontId="4" fillId="6" borderId="20" xfId="0" applyNumberFormat="1" applyFont="1" applyFill="1" applyBorder="1" applyAlignment="1">
      <x:alignment horizontal="left" vertical="center"/>
    </x:xf>
    <x:xf numFmtId="203" fontId="18" fillId="5" borderId="22" xfId="0" applyNumberFormat="1" applyFont="1" applyFill="1" applyBorder="1" applyAlignment="1">
      <x:alignment horizontal="right" vertical="center"/>
    </x:xf>
    <x:xf numFmtId="0" fontId="0" fillId="0" borderId="19" xfId="0" applyNumberFormat="1" applyFont="1" applyFill="1" applyBorder="1" applyAlignment="1">
      <x:alignment vertical="center"/>
    </x:xf>
    <x:xf numFmtId="166" fontId="18" fillId="5" borderId="17" xfId="0" applyNumberFormat="1" applyFont="1" applyFill="1" applyBorder="1" applyAlignment="1">
      <x:alignment horizontal="right" vertical="center"/>
    </x:xf>
    <x:xf numFmtId="203" fontId="0" fillId="0" borderId="19" xfId="0" applyNumberFormat="1" applyFont="1" applyFill="1" applyBorder="1" applyAlignment="1">
      <x:alignment vertical="center"/>
    </x:xf>
    <x:xf numFmtId="0" fontId="17" fillId="4" borderId="20" xfId="0" applyNumberFormat="1" applyFont="1" applyFill="1" applyBorder="1" applyAlignment="1">
      <x:alignment horizontal="left" vertical="center"/>
    </x:xf>
    <x:xf numFmtId="203" fontId="0" fillId="0" borderId="22" xfId="0" applyNumberFormat="1" applyFont="1" applyFill="1" applyBorder="1" applyAlignment="1">
      <x:alignment vertical="center"/>
    </x:xf>
    <x:xf numFmtId="0" fontId="5" fillId="13" borderId="14" xfId="0" applyNumberFormat="1" applyFont="1" applyFill="1" applyBorder="1" applyAlignment="1">
      <x:alignment horizontal="left" vertical="center"/>
    </x:xf>
    <x:xf numFmtId="0" fontId="5" fillId="13" borderId="16" xfId="0" applyNumberFormat="1" applyFont="1" applyFill="1" applyBorder="1" applyAlignment="1">
      <x:alignment horizontal="left" vertical="center"/>
    </x:xf>
    <x:xf numFmtId="0" fontId="5" fillId="13" borderId="17" xfId="0" applyNumberFormat="1" applyFont="1" applyFill="1" applyBorder="1" applyAlignment="1">
      <x:alignment horizontal="center" vertical="center" wrapText="1"/>
    </x:xf>
    <x:xf numFmtId="0" fontId="5" fillId="13" borderId="19" xfId="0" applyNumberFormat="1" applyFont="1" applyFill="1" applyBorder="1" applyAlignment="1">
      <x:alignment horizontal="center" vertical="center" wrapText="1"/>
    </x:xf>
    <x:xf numFmtId="0" fontId="0" fillId="13" borderId="19" xfId="0" applyNumberFormat="1" applyFont="1" applyFill="1" applyBorder="1" applyAlignment="1">
      <x:alignment vertical="center"/>
    </x:xf>
    <x:xf numFmtId="0" fontId="8" fillId="13" borderId="19" xfId="0" applyNumberFormat="1" applyFont="1" applyFill="1" applyBorder="1" applyAlignment="1">
      <x:alignment vertical="center"/>
    </x:xf>
    <x:xf numFmtId="200" fontId="8" fillId="9" borderId="3" xfId="0" applyNumberFormat="1" applyFont="1" applyFill="1" applyBorder="1" applyAlignment="1">
      <x:alignment horizontal="left" vertical="center"/>
    </x:xf>
    <x:xf numFmtId="203" fontId="11" fillId="10" borderId="9" xfId="0" applyNumberFormat="1" applyFont="1" applyFill="1" applyBorder="1" applyAlignment="1">
      <x:alignment horizontal="left" vertical="center"/>
    </x:xf>
    <x:xf numFmtId="204" fontId="11" fillId="10" borderId="9" xfId="0" applyNumberFormat="1" applyFont="1" applyFill="1" applyBorder="1" applyAlignment="1">
      <x:alignment horizontal="left" vertical="center"/>
    </x:xf>
    <x:xf numFmtId="204" fontId="12" fillId="10" borderId="11" xfId="0" applyNumberFormat="1" applyFont="1" applyFill="1" applyBorder="1" applyAlignment="1">
      <x:alignment horizontal="right" vertical="center"/>
    </x:xf>
    <x:xf numFmtId="204" fontId="13" fillId="10" borderId="12" xfId="0" applyNumberFormat="1" applyFont="1" applyFill="1" applyBorder="1" applyAlignment="1">
      <x:alignment horizontal="left" vertical="center"/>
    </x:xf>
    <x:xf numFmtId="204" fontId="5" fillId="10" borderId="12" xfId="0" applyNumberFormat="1" applyFont="1" applyFill="1" applyBorder="1" applyAlignment="1">
      <x:alignment horizontal="right" vertical="center"/>
    </x:xf>
    <x:xf numFmtId="204" fontId="13" fillId="10" borderId="13" xfId="0" applyNumberFormat="1" applyFont="1" applyFill="1" applyBorder="1" applyAlignment="1">
      <x:alignment horizontal="left" vertical="center"/>
    </x:xf>
    <x:xf numFmtId="203" fontId="6" fillId="10" borderId="1" xfId="0" applyNumberFormat="1" applyFont="1" applyFill="1" applyBorder="1" applyAlignment="1">
      <x:alignment horizontal="right" vertical="center"/>
    </x:xf>
    <x:xf numFmtId="204" fontId="6" fillId="10" borderId="1" xfId="0" applyNumberFormat="1" applyFont="1" applyFill="1" applyBorder="1" applyAlignment="1">
      <x:alignment horizontal="right" vertical="center"/>
    </x:xf>
    <x:xf numFmtId="0" fontId="14" fillId="10" borderId="6" xfId="0" applyNumberFormat="1" applyFont="1" applyFill="1" applyBorder="1" applyAlignment="1">
      <x:alignment horizontal="left" vertical="center" wrapText="1"/>
    </x:xf>
    <x:xf numFmtId="0" fontId="14" fillId="10" borderId="7" xfId="0" applyNumberFormat="1" applyFont="1" applyFill="1" applyBorder="1" applyAlignment="1">
      <x:alignment horizontal="left" vertical="center" wrapText="1"/>
    </x:xf>
    <x:xf numFmtId="0" fontId="14" fillId="10" borderId="8" xfId="0" applyNumberFormat="1" applyFont="1" applyFill="1" applyBorder="1" applyAlignment="1">
      <x:alignment horizontal="left" vertical="center" wrapText="1"/>
    </x:xf>
    <x:xf numFmtId="0" fontId="14" fillId="10" borderId="9" xfId="0" applyNumberFormat="1" applyFont="1" applyFill="1" applyBorder="1" applyAlignment="1">
      <x:alignment horizontal="left" vertical="center" wrapText="1"/>
    </x:xf>
    <x:xf numFmtId="0" fontId="14" fillId="10" borderId="0" xfId="0" applyNumberFormat="1" applyFont="1" applyFill="1" applyBorder="1" applyAlignment="1">
      <x:alignment horizontal="left" vertical="center" wrapText="1"/>
    </x:xf>
    <x:xf numFmtId="0" fontId="14" fillId="10" borderId="10" xfId="0" applyNumberFormat="1" applyFont="1" applyFill="1" applyBorder="1" applyAlignment="1">
      <x:alignment horizontal="left" vertical="center" wrapText="1"/>
    </x:xf>
    <x:xf numFmtId="0" fontId="14" fillId="10" borderId="11" xfId="0" applyNumberFormat="1" applyFont="1" applyFill="1" applyBorder="1" applyAlignment="1">
      <x:alignment horizontal="left" vertical="center" wrapText="1"/>
    </x:xf>
    <x:xf numFmtId="0" fontId="14" fillId="10" borderId="12" xfId="0" applyNumberFormat="1" applyFont="1" applyFill="1" applyBorder="1" applyAlignment="1">
      <x:alignment horizontal="left" vertical="center" wrapText="1"/>
    </x:xf>
    <x:xf numFmtId="0" fontId="14" fillId="10" borderId="13" xfId="0" applyNumberFormat="1" applyFont="1" applyFill="1" applyBorder="1" applyAlignment="1">
      <x:alignment horizontal="left" vertical="center" wrapText="1"/>
    </x:xf>
    <x:xf numFmtId="0" fontId="15" fillId="9" borderId="6" xfId="0" applyNumberFormat="1" applyFont="1" applyFill="1" applyBorder="1" applyAlignment="1">
      <x:alignment horizontal="left" vertical="center" wrapText="1"/>
    </x:xf>
    <x:xf numFmtId="0" fontId="15" fillId="9" borderId="7" xfId="0" applyNumberFormat="1" applyFont="1" applyFill="1" applyBorder="1" applyAlignment="1">
      <x:alignment horizontal="left" vertical="center" wrapText="1"/>
    </x:xf>
    <x:xf numFmtId="0" fontId="15" fillId="9" borderId="8" xfId="0" applyNumberFormat="1" applyFont="1" applyFill="1" applyBorder="1" applyAlignment="1">
      <x:alignment horizontal="left" vertical="center" wrapText="1"/>
    </x:xf>
    <x:xf numFmtId="0" fontId="15" fillId="9" borderId="9" xfId="0" applyNumberFormat="1" applyFont="1" applyFill="1" applyBorder="1" applyAlignment="1">
      <x:alignment horizontal="left" vertical="center" wrapText="1"/>
    </x:xf>
    <x:xf numFmtId="0" fontId="15" fillId="9" borderId="0" xfId="0" applyNumberFormat="1" applyFont="1" applyFill="1" applyBorder="1" applyAlignment="1">
      <x:alignment horizontal="left" vertical="center" wrapText="1"/>
    </x:xf>
    <x:xf numFmtId="0" fontId="15" fillId="9" borderId="10" xfId="0" applyNumberFormat="1" applyFont="1" applyFill="1" applyBorder="1" applyAlignment="1">
      <x:alignment horizontal="left" vertical="center" wrapText="1"/>
    </x:xf>
    <x:xf numFmtId="0" fontId="15" fillId="9" borderId="11" xfId="0" applyNumberFormat="1" applyFont="1" applyFill="1" applyBorder="1" applyAlignment="1">
      <x:alignment horizontal="left" vertical="center" wrapText="1"/>
    </x:xf>
    <x:xf numFmtId="0" fontId="15" fillId="9" borderId="12" xfId="0" applyNumberFormat="1" applyFont="1" applyFill="1" applyBorder="1" applyAlignment="1">
      <x:alignment horizontal="left" vertical="center" wrapText="1"/>
    </x:xf>
    <x:xf numFmtId="0" fontId="15" fillId="9" borderId="13" xfId="0" applyNumberFormat="1" applyFont="1" applyFill="1" applyBorder="1" applyAlignment="1">
      <x:alignment horizontal="left" vertical="center" wrapText="1"/>
    </x:xf>
  </x:cellXfs>
  <x:cellStyles count="1">
    <x:cellStyle name="Normal" xfId="0"/>
  </x:cellStyles>
  <x:dxfs count="6">
    <x:dxf>
      <x:font>
        <x:b/>
        <x:color rgb="FFB3261E"/>
      </x:font>
      <x:fill>
        <x:patternFill>
          <x:bgColor rgb="FFF4CCCC"/>
        </x:patternFill>
      </x:fill>
    </x:dxf>
    <x:dxf>
      <x:font>
        <x:b/>
        <x:color rgb="FF8A6400"/>
      </x:font>
      <x:fill>
        <x:patternFill>
          <x:bgColor rgb="FFFFF2CC"/>
        </x:patternFill>
      </x:fill>
    </x:dxf>
    <x:dxf>
      <x:font>
        <x:b/>
        <x:color rgb="FF2E7D32"/>
      </x:font>
      <x:fill>
        <x:patternFill>
          <x:bgColor rgb="FFD9EAD3"/>
        </x:patternFill>
      </x:fill>
    </x:dxf>
    <x:dxf>
      <x:font>
        <x:color rgb="FF2E7D32"/>
      </x:font>
      <x:fill>
        <x:patternFill patternType="solid">
          <x:bgColor rgb="FFD9EAD3"/>
        </x:patternFill>
      </x:fill>
    </x:dxf>
    <x:dxf>
      <x:font>
        <x:color rgb="FF8A5A00"/>
      </x:font>
      <x:fill>
        <x:patternFill patternType="solid">
          <x:bgColor rgb="FFFFF2CC"/>
        </x:patternFill>
      </x:fill>
    </x:dxf>
    <x:dxf>
      <x:font>
        <x:color rgb="FF245B78"/>
      </x:font>
      <x:fill>
        <x:patternFill patternType="solid">
          <x:bgColor rgb="FFD9EAF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051169877bf4445" /><Relationship Type="http://schemas.openxmlformats.org/officeDocument/2006/relationships/theme" Target="/xl/theme/theme1.xml" Id="R47e2c122df2042c5" /><Relationship Type="http://schemas.openxmlformats.org/officeDocument/2006/relationships/sharedStrings" Target="/xl/sharedStrings.xml" Id="R3b039be98ef1440a" /><Relationship Type="http://schemas.openxmlformats.org/officeDocument/2006/relationships/worksheet" Target="/xl/worksheets/sheet1.xml" Id="R91414eae8e184cab" /><Relationship Type="http://schemas.openxmlformats.org/officeDocument/2006/relationships/worksheet" Target="/xl/worksheets/sheet2.xml" Id="Rb5ef77b5af1146ad" /><Relationship Type="http://schemas.openxmlformats.org/officeDocument/2006/relationships/worksheet" Target="/xl/worksheets/sheet3.xml" Id="R15fbe2b627f7430a" /><Relationship Type="http://schemas.openxmlformats.org/officeDocument/2006/relationships/worksheet" Target="/xl/worksheets/sheet4.xml" Id="R427493629ed74bb6" /><Relationship Type="http://schemas.openxmlformats.org/officeDocument/2006/relationships/worksheet" Target="/xl/worksheets/sheet5.xml" Id="Rf28e86115c364bc3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2d2572d0a832474c" /><Relationship Type="http://schemas.openxmlformats.org/officeDocument/2006/relationships/chart" Target="/xl/drawings/charts/chart2.xml" Id="Rbcb6cdecbb714a77" /><Relationship Type="http://schemas.openxmlformats.org/officeDocument/2006/relationships/chart" Target="/xl/drawings/charts/chart3.xml" Id="R7b6ab930e3054634" /><Relationship Type="http://schemas.openxmlformats.org/officeDocument/2006/relationships/chart" Target="/xl/drawings/charts/chart4.xml" Id="Rf598f50c463d4fc8" /></Relationships>
</file>

<file path=xl/drawings/charts/chart1.xml><?xml version="1.0" encoding="utf-8"?>
<c:chartSpace xmlns:c="http://schemas.openxmlformats.org/drawingml/2006/chart">
  <c:lang val="en-US"/>
  <c:roundedCorners val="1"/>
  <c:style val="2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b="0">
                <a:solidFill>
                  <a:srgbClr val="A7B6C8"/>
                </a:solidFill>
                <a:latin typeface="Arial"/>
                <a:ea typeface="Arial"/>
                <a:cs typeface="Arial"/>
              </a:rPr>
              <a:t>연도별 공개 글과 웹소설 직접 글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b="0">
              <a:solidFill>
                <a:srgbClr val="A7B6C8"/>
              </a:solidFill>
              <a:latin typeface="Arial"/>
              <a:ea typeface="Arial"/>
              <a:cs typeface="Arial"/>
            </a:defRPr>
          </a:pPr>
        </a:p>
      </c:txPr>
    </c:title>
    <c:autoTitleDeleted val="0"/>
    <c:plotArea>
      <c:lineChart>
        <c:grouping val="standard"/>
        <c:varyColors val="1"/>
        <c:ser>
          <c:idx val="0"/>
          <c:order val="0"/>
          <c:tx>
            <c:v>전체 글</c:v>
          </c:tx>
          <c:marker>
            <c:symbol val="none"/>
          </c:marker>
          <c:cat>
            <c:strRef>
              <c:f>'_Chart Helpers'!$H$2:$H$7</c:f>
              <c:strCache>
                <c:ptCount val="0"/>
              </c:strCache>
            </c:strRef>
          </c:cat>
          <c:val>
            <c:numRef>
              <c:f>'_Chart Helpers'!$I$2:$I$7</c:f>
              <c:numCache>
                <c:formatCode>#,##0</c:formatCode>
                <c:ptCount val="0"/>
              </c:numCache>
            </c:numRef>
          </c:val>
          <c:smooth val="0"/>
        </c:ser>
        <c:ser>
          <c:idx val="1"/>
          <c:order val="1"/>
          <c:tx>
            <c:v>웹소설 직접</c:v>
          </c:tx>
          <c:marker>
            <c:symbol val="none"/>
          </c:marker>
          <c:cat>
            <c:strRef>
              <c:f>'_Chart Helpers'!$H$2:$H$7</c:f>
              <c:strCache>
                <c:ptCount val="0"/>
              </c:strCache>
            </c:strRef>
          </c:cat>
          <c:val>
            <c:numRef>
              <c:f>'_Chart Helpers'!$J$2:$J$7</c:f>
              <c:numCache>
                <c:formatCode>#,##0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71038433"/>
        <c:axId val="982302182"/>
      </c:lineChart>
      <c:catAx>
        <c:axId val="571038433"/>
        <c:scaling>
          <c:orientation val="minMax"/>
        </c:scaling>
        <c:delete val="0"/>
        <c:axPos val="b"/>
        <c:title>
          <c:overlay val="0"/>
          <c:txPr>
            <a:bodyPr xmlns:a="http://schemas.openxmlformats.org/drawingml/2006/main" anchorCtr="1"/>
            <a:lstStyle xmlns:a="http://schemas.openxmlformats.org/drawingml/2006/main"/>
            <a:p xmlns:a="http://schemas.openxmlformats.org/drawingml/2006/main">
              <a:pPr>
                <a:defRPr b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</a:p>
          </c:txPr>
        </c:title>
        <c:numFmt formatCode="General" sourceLinked="1"/>
        <c:majorTickMark val="none"/>
        <c:minorTickMark val="none"/>
        <c:tickLblPos val="nextTo"/>
        <c:spPr>
          <a:ln xmlns:a="http://schemas.openxmlformats.org/drawingml/2006/main">
            <a:noFill/>
          </a:ln>
        </c:spPr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1000" b="1" i="0">
                <a:solidFill>
                  <a:srgbClr val="A7B6C8"/>
                </a:solidFill>
                <a:latin typeface="Arial"/>
                <a:ea typeface="Arial"/>
                <a:cs typeface="Arial"/>
              </a:defRPr>
            </a:pPr>
          </a:p>
        </c:txPr>
        <c:crossAx val="982302182"/>
        <c:crosses val="autoZero"/>
        <c:lblOffset val="100"/>
      </c:catAx>
      <c:valAx>
        <c:axId val="982302182"/>
        <c:scaling>
          <c:orientation val="minMax"/>
        </c:scaling>
        <c:delete val="0"/>
        <c:axPos val="l"/>
        <c:majorGridlines>
          <c:spPr>
            <a:ln xmlns:a="http://schemas.openxmlformats.org/drawingml/2006/main">
              <a:solidFill>
                <a:srgbClr val="2E4052"/>
              </a:solidFill>
            </a:ln>
          </c:spPr>
        </c:majorGridlines>
        <c:title>
          <c:overlay val="0"/>
          <c:txPr>
            <a:bodyPr xmlns:a="http://schemas.openxmlformats.org/drawingml/2006/main" anchorCtr="1"/>
            <a:lstStyle xmlns:a="http://schemas.openxmlformats.org/drawingml/2006/main"/>
            <a:p xmlns:a="http://schemas.openxmlformats.org/drawingml/2006/main">
              <a:pPr>
                <a:defRPr b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</a:p>
          </c:txPr>
        </c:title>
        <c:numFmt formatCode="#,##0" sourceLinked="0"/>
        <c:majorTickMark val="none"/>
        <c:minorTickMark val="none"/>
        <c:tickLblPos val="nextTo"/>
        <c:spPr>
          <a:ln xmlns:a="http://schemas.openxmlformats.org/drawingml/2006/main">
            <a:noFill/>
          </a:ln>
        </c:spPr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1000" b="1" i="0">
                <a:solidFill>
                  <a:srgbClr val="A7B6C8"/>
                </a:solidFill>
                <a:latin typeface="Arial"/>
                <a:ea typeface="Arial"/>
                <a:cs typeface="Arial"/>
              </a:defRPr>
            </a:pPr>
          </a:p>
        </c:txPr>
        <c:crossAx val="571038433"/>
        <c:crosses val="autoZero"/>
        <c:crossBetween val="between"/>
      </c:valAx>
      <c:spPr>
        <a:solidFill xmlns:a="http://schemas.openxmlformats.org/drawingml/2006/main">
          <a:srgbClr val="16212C"/>
        </a:solidFill>
      </c:spPr>
    </c:plotArea>
    <c:legend>
      <c:legendPos val="b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b="1" i="0">
              <a:solidFill>
                <a:srgbClr val="A7B6C8"/>
              </a:solidFill>
              <a:latin typeface="Arial"/>
              <a:ea typeface="Arial"/>
              <a:cs typeface="Arial"/>
            </a:defRPr>
          </a:pPr>
        </a:p>
      </c:txPr>
    </c:legend>
    <c:plotVisOnly val="1"/>
  </c:chart>
  <c:spPr>
    <a:solidFill xmlns:a="http://schemas.openxmlformats.org/drawingml/2006/main">
      <a:srgbClr val="16212C"/>
    </a:solidFill>
  </c:spPr>
</c:chartSpace>
</file>

<file path=xl/drawings/charts/chart2.xml><?xml version="1.0" encoding="utf-8"?>
<c:chartSpace xmlns:c="http://schemas.openxmlformats.org/drawingml/2006/chart">
  <c:lang val="en-US"/>
  <c:roundedCorners val="1"/>
  <c:style val="2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b="0">
                <a:solidFill>
                  <a:srgbClr val="A7B6C8"/>
                </a:solidFill>
                <a:latin typeface="Arial"/>
                <a:ea typeface="Arial"/>
                <a:cs typeface="Arial"/>
              </a:rPr>
              <a:t>웹소설 직접 글의 자동 주제 분포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b="0">
              <a:solidFill>
                <a:srgbClr val="A7B6C8"/>
              </a:solidFill>
              <a:latin typeface="Arial"/>
              <a:ea typeface="Arial"/>
              <a:cs typeface="Arial"/>
            </a:defRPr>
          </a:pPr>
        </a:p>
      </c:txPr>
    </c:title>
    <c:autoTitleDeleted val="0"/>
    <c:plotArea>
      <c:barChart>
        <c:barDir val="col"/>
        <c:grouping val="clustered"/>
        <c:varyColors val="1"/>
        <c:ser>
          <c:idx val="0"/>
          <c:order val="0"/>
          <c:tx>
            <c:v>글 수</c:v>
          </c:tx>
          <c:cat>
            <c:strRef>
              <c:f>'_Chart Helpers'!$L$2:$L$7</c:f>
              <c:strCache>
                <c:ptCount val="0"/>
              </c:strCache>
            </c:strRef>
          </c:cat>
          <c:val>
            <c:numRef>
              <c:f>'_Chart Helpers'!$M$2:$M$7</c:f>
              <c:numCache>
                <c:formatCode>#,##0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76762807"/>
        <c:axId val="1313677059"/>
      </c:barChart>
      <c:catAx>
        <c:axId val="376762807"/>
        <c:scaling>
          <c:orientation val="minMax"/>
        </c:scaling>
        <c:delete val="0"/>
        <c:axPos val="b"/>
        <c:title>
          <c:overlay val="0"/>
          <c:txPr>
            <a:bodyPr xmlns:a="http://schemas.openxmlformats.org/drawingml/2006/main" anchorCtr="1"/>
            <a:lstStyle xmlns:a="http://schemas.openxmlformats.org/drawingml/2006/main"/>
            <a:p xmlns:a="http://schemas.openxmlformats.org/drawingml/2006/main">
              <a:pPr>
                <a:defRPr b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</a:p>
          </c:txPr>
        </c:title>
        <c:numFmt formatCode="General" sourceLinked="1"/>
        <c:majorTickMark val="none"/>
        <c:minorTickMark val="none"/>
        <c:tickLblPos val="nextTo"/>
        <c:spPr>
          <a:ln xmlns:a="http://schemas.openxmlformats.org/drawingml/2006/main">
            <a:noFill/>
          </a:ln>
        </c:spPr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1000" b="1" i="0">
                <a:solidFill>
                  <a:srgbClr val="A7B6C8"/>
                </a:solidFill>
                <a:latin typeface="Arial"/>
                <a:ea typeface="Arial"/>
                <a:cs typeface="Arial"/>
              </a:defRPr>
            </a:pPr>
          </a:p>
        </c:txPr>
        <c:crossAx val="1313677059"/>
        <c:crosses val="autoZero"/>
        <c:lblOffset val="100"/>
      </c:catAx>
      <c:valAx>
        <c:axId val="1313677059"/>
        <c:scaling>
          <c:orientation val="minMax"/>
        </c:scaling>
        <c:delete val="0"/>
        <c:axPos val="l"/>
        <c:majorGridlines>
          <c:spPr>
            <a:ln xmlns:a="http://schemas.openxmlformats.org/drawingml/2006/main">
              <a:solidFill>
                <a:srgbClr val="2E4052"/>
              </a:solidFill>
            </a:ln>
          </c:spPr>
        </c:majorGridlines>
        <c:title>
          <c:overlay val="0"/>
          <c:txPr>
            <a:bodyPr xmlns:a="http://schemas.openxmlformats.org/drawingml/2006/main" anchorCtr="1"/>
            <a:lstStyle xmlns:a="http://schemas.openxmlformats.org/drawingml/2006/main"/>
            <a:p xmlns:a="http://schemas.openxmlformats.org/drawingml/2006/main">
              <a:pPr>
                <a:defRPr b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</a:p>
          </c:txPr>
        </c:title>
        <c:numFmt formatCode="#,##0" sourceLinked="0"/>
        <c:majorTickMark val="none"/>
        <c:minorTickMark val="none"/>
        <c:tickLblPos val="nextTo"/>
        <c:spPr>
          <a:ln xmlns:a="http://schemas.openxmlformats.org/drawingml/2006/main">
            <a:noFill/>
          </a:ln>
        </c:spPr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1000" b="1" i="0">
                <a:solidFill>
                  <a:srgbClr val="A7B6C8"/>
                </a:solidFill>
                <a:latin typeface="Arial"/>
                <a:ea typeface="Arial"/>
                <a:cs typeface="Arial"/>
              </a:defRPr>
            </a:pPr>
          </a:p>
        </c:txPr>
        <c:crossAx val="376762807"/>
        <c:crosses val="autoZero"/>
        <c:crossBetween val="between"/>
      </c:valAx>
      <c:spPr>
        <a:solidFill xmlns:a="http://schemas.openxmlformats.org/drawingml/2006/main">
          <a:srgbClr val="16212C"/>
        </a:solidFill>
      </c:spPr>
    </c:plotArea>
    <c:plotVisOnly val="1"/>
  </c:chart>
  <c:spPr>
    <a:solidFill xmlns:a="http://schemas.openxmlformats.org/drawingml/2006/main">
      <a:srgbClr val="16212C"/>
    </a:solidFill>
  </c:spPr>
</c:chartSpace>
</file>

<file path=xl/drawings/charts/chart3.xml><?xml version="1.0" encoding="utf-8"?>
<c:chartSpace xmlns:c="http://schemas.openxmlformats.org/drawingml/2006/chart">
  <c:lang val="en-US"/>
  <c:roundedCorners val="1"/>
  <c:style val="2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b="0">
                <a:solidFill>
                  <a:srgbClr val="A7B6C8"/>
                </a:solidFill>
                <a:latin typeface="Arial"/>
                <a:ea typeface="Arial"/>
                <a:cs typeface="Arial"/>
              </a:rPr>
              <a:t>전체 수집에서 원문 감리까지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b="0">
              <a:solidFill>
                <a:srgbClr val="A7B6C8"/>
              </a:solidFill>
              <a:latin typeface="Arial"/>
              <a:ea typeface="Arial"/>
              <a:cs typeface="Arial"/>
            </a:defRPr>
          </a:pPr>
        </a:p>
      </c:txPr>
    </c:title>
    <c:autoTitleDeleted val="0"/>
    <c:plotArea>
      <c:barChart>
        <c:barDir val="bar"/>
        <c:grouping val="clustered"/>
        <c:varyColors val="1"/>
        <c:ser>
          <c:idx val="0"/>
          <c:order val="0"/>
          <c:tx>
            <c:v>건수</c:v>
          </c:tx>
          <c:cat>
            <c:strRef>
              <c:f>'_Chart Helpers'!$P$2:$P$6</c:f>
              <c:strCache>
                <c:ptCount val="0"/>
              </c:strCache>
            </c:strRef>
          </c:cat>
          <c:val>
            <c:numRef>
              <c:f>'_Chart Helpers'!$Q$2:$Q$6</c:f>
              <c:numCache>
                <c:formatCode>#,##0;[Red]\(#,##0\);\-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42910587"/>
        <c:axId val="2009006557"/>
      </c:barChart>
      <c:catAx>
        <c:axId val="1442910587"/>
        <c:scaling>
          <c:orientation val="maxMin"/>
        </c:scaling>
        <c:delete val="0"/>
        <c:axPos val="l"/>
        <c:title>
          <c:overlay val="0"/>
          <c:txPr>
            <a:bodyPr xmlns:a="http://schemas.openxmlformats.org/drawingml/2006/main" anchorCtr="1"/>
            <a:lstStyle xmlns:a="http://schemas.openxmlformats.org/drawingml/2006/main"/>
            <a:p xmlns:a="http://schemas.openxmlformats.org/drawingml/2006/main">
              <a:pPr>
                <a:defRPr b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</a:p>
          </c:txPr>
        </c:title>
        <c:numFmt formatCode="#,##0" sourceLinked="1"/>
        <c:majorTickMark val="none"/>
        <c:minorTickMark val="none"/>
        <c:tickLblPos val="nextTo"/>
        <c:spPr>
          <a:ln xmlns:a="http://schemas.openxmlformats.org/drawingml/2006/main">
            <a:noFill/>
          </a:ln>
        </c:spPr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1000" b="1" i="0">
                <a:solidFill>
                  <a:srgbClr val="A7B6C8"/>
                </a:solidFill>
                <a:latin typeface="Arial"/>
                <a:ea typeface="Arial"/>
                <a:cs typeface="Arial"/>
              </a:defRPr>
            </a:pPr>
          </a:p>
        </c:txPr>
        <c:crossAx val="2009006557"/>
        <c:crosses val="autoZero"/>
        <c:lblOffset val="100"/>
      </c:catAx>
      <c:valAx>
        <c:axId val="2009006557"/>
        <c:scaling>
          <c:orientation val="minMax"/>
        </c:scaling>
        <c:delete val="0"/>
        <c:axPos val="b"/>
        <c:majorGridlines>
          <c:spPr>
            <a:ln xmlns:a="http://schemas.openxmlformats.org/drawingml/2006/main">
              <a:solidFill>
                <a:srgbClr val="2E4052"/>
              </a:solidFill>
            </a:ln>
          </c:spPr>
        </c:majorGridlines>
        <c:title>
          <c:overlay val="0"/>
          <c:txPr>
            <a:bodyPr xmlns:a="http://schemas.openxmlformats.org/drawingml/2006/main" anchorCtr="1"/>
            <a:lstStyle xmlns:a="http://schemas.openxmlformats.org/drawingml/2006/main"/>
            <a:p xmlns:a="http://schemas.openxmlformats.org/drawingml/2006/main">
              <a:pPr>
                <a:defRPr b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</a:p>
          </c:txPr>
        </c:title>
        <c:numFmt formatCode="0,&quot;K&quot;" sourceLinked="0"/>
        <c:majorTickMark val="none"/>
        <c:minorTickMark val="none"/>
        <c:tickLblPos val="nextTo"/>
        <c:spPr>
          <a:ln xmlns:a="http://schemas.openxmlformats.org/drawingml/2006/main">
            <a:noFill/>
          </a:ln>
        </c:spPr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1000" b="1" i="0">
                <a:solidFill>
                  <a:srgbClr val="A7B6C8"/>
                </a:solidFill>
                <a:latin typeface="Arial"/>
                <a:ea typeface="Arial"/>
                <a:cs typeface="Arial"/>
              </a:defRPr>
            </a:pPr>
          </a:p>
        </c:txPr>
        <c:crossAx val="1442910587"/>
        <c:crosses val="max"/>
        <c:crossBetween val="between"/>
      </c:valAx>
      <c:spPr>
        <a:solidFill xmlns:a="http://schemas.openxmlformats.org/drawingml/2006/main">
          <a:srgbClr val="16212C"/>
        </a:solidFill>
      </c:spPr>
    </c:plotArea>
    <c:plotVisOnly val="1"/>
  </c:chart>
  <c:spPr>
    <a:solidFill xmlns:a="http://schemas.openxmlformats.org/drawingml/2006/main">
      <a:srgbClr val="16212C"/>
    </a:solidFill>
  </c:spPr>
</c:chartSpace>
</file>

<file path=xl/drawings/charts/chart4.xml><?xml version="1.0" encoding="utf-8"?>
<c:chartSpace xmlns:c="http://schemas.openxmlformats.org/drawingml/2006/chart">
  <c:lang val="en-US"/>
  <c:roundedCorners val="1"/>
  <c:style val="2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b="0">
                <a:solidFill>
                  <a:srgbClr val="A7B6C8"/>
                </a:solidFill>
                <a:latin typeface="Arial"/>
                <a:ea typeface="Arial"/>
                <a:cs typeface="Arial"/>
              </a:rPr>
              <a:t>재게시와 본인 자료를 분리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b="0">
              <a:solidFill>
                <a:srgbClr val="A7B6C8"/>
              </a:solidFill>
              <a:latin typeface="Arial"/>
              <a:ea typeface="Arial"/>
              <a:cs typeface="Arial"/>
            </a:defRPr>
          </a:pPr>
        </a:p>
      </c:txPr>
    </c:title>
    <c:autoTitleDeleted val="0"/>
    <c:plotArea>
      <c:pieChart>
        <c:ser>
          <c:idx val="0"/>
          <c:order val="0"/>
          <c:tx>
            <c:v>글 수</c:v>
          </c:tx>
          <c:cat>
            <c:strRef>
              <c:f>'_Chart Helpers'!$S$2:$S$5</c:f>
              <c:strCache>
                <c:ptCount val="0"/>
              </c:strCache>
            </c:strRef>
          </c:cat>
          <c:val>
            <c:numRef>
              <c:f>'_Chart Helpers'!$T$2:$T$5</c:f>
              <c:numCache>
                <c:formatCode>\$#,##0;[Red]\(\$#,##0\);\-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solidFill xmlns:a="http://schemas.openxmlformats.org/drawingml/2006/main">
          <a:srgbClr val="16212C"/>
        </a:solidFill>
      </c:spPr>
    </c:plotArea>
    <c:legend>
      <c:legendPos val="b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b="1" i="0">
              <a:solidFill>
                <a:srgbClr val="A7B6C8"/>
              </a:solidFill>
              <a:latin typeface="Arial"/>
              <a:ea typeface="Arial"/>
              <a:cs typeface="Arial"/>
            </a:defRPr>
          </a:pPr>
        </a:p>
      </c:txPr>
    </c:legend>
    <c:plotVisOnly val="1"/>
  </c:chart>
  <c:spPr>
    <a:solidFill xmlns:a="http://schemas.openxmlformats.org/drawingml/2006/main">
      <a:srgbClr val="16212C"/>
    </a:solidFill>
  </c:spPr>
</c:chartSpace>
</file>

<file path=xl/drawings/drawing1.xml><?xml version="1.0" encoding="utf-8"?>
<xdr:wsDr xmlns:xdr="http://schemas.openxmlformats.org/drawingml/2006/spreadsheetDrawing">
  <xdr:twoCellAnchor>
    <xdr:from>
      <xdr:col>1</xdr:col>
      <xdr:colOff>0</xdr:colOff>
      <xdr:row>15</xdr:row>
      <xdr:rowOff>0</xdr:rowOff>
    </xdr:from>
    <xdr:to>
      <xdr:col>9</xdr:col>
      <xdr:colOff>0</xdr:colOff>
      <xdr:row>28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d2572d0a832474c"/>
        </a:graphicData>
      </a:graphic>
    </xdr:graphicFrame>
    <xdr:clientData/>
  </xdr:twoCellAnchor>
  <xdr:twoCellAnchor>
    <xdr:from>
      <xdr:col>9</xdr:col>
      <xdr:colOff>0</xdr:colOff>
      <xdr:row>15</xdr:row>
      <xdr:rowOff>0</xdr:rowOff>
    </xdr:from>
    <xdr:to>
      <xdr:col>17</xdr:col>
      <xdr:colOff>0</xdr:colOff>
      <xdr:row>28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cb6cdecbb714a77"/>
        </a:graphicData>
      </a:graphic>
    </xdr:graphicFrame>
    <xdr:clientData/>
  </xdr:twoCellAnchor>
  <xdr:twoCellAnchor>
    <xdr:from>
      <xdr:col>1</xdr:col>
      <xdr:colOff>0</xdr:colOff>
      <xdr:row>29</xdr:row>
      <xdr:rowOff>0</xdr:rowOff>
    </xdr:from>
    <xdr:to>
      <xdr:col>9</xdr:col>
      <xdr:colOff>0</xdr:colOff>
      <xdr:row>41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b6ab930e3054634"/>
        </a:graphicData>
      </a:graphic>
    </xdr:graphicFrame>
    <xdr:clientData/>
  </xdr:twoCellAnchor>
  <xdr:twoCellAnchor>
    <xdr:from>
      <xdr:col>9</xdr:col>
      <xdr:colOff>0</xdr:colOff>
      <xdr:row>29</xdr:row>
      <xdr:rowOff>0</xdr:rowOff>
    </xdr:from>
    <xdr:to>
      <xdr:col>17</xdr:col>
      <xdr:colOff>0</xdr:colOff>
      <xdr:row>41</xdr:row>
      <xdr:rowOff>0</xdr:rowOff>
    </xdr:to>
    <xdr:graphicFrame macro="">
      <xdr:nvGraphicFramePr>
        <xdr:cNvPr id="4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598f50c463d4fc8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BlogArchiveTable" displayName="BlogArchiveTable" ref="A1:Q1051" headerRowCount="1" totalsRowCount="0" totalsRowShown="0">
  <x:tableColumns count="17">
    <x:tableColumn id="1" name="순번"/>
    <x:tableColumn id="2" name="게시일"/>
    <x:tableColumn id="3" name="연도"/>
    <x:tableColumn id="4" name="글 ID"/>
    <x:tableColumn id="5" name="제목"/>
    <x:tableColumn id="6" name="블로그 분류"/>
    <x:tableColumn id="7" name="분석 범위"/>
    <x:tableColumn id="8" name="자동 주제"/>
    <x:tableColumn id="9" name="분류 점수"/>
    <x:tableColumn id="10" name="근거 키워드"/>
    <x:tableColumn id="11" name="출처 유형"/>
    <x:tableColumn id="12" name="출처 확신"/>
    <x:tableColumn id="13" name="출처 판정 근거"/>
    <x:tableColumn id="14" name="외부 원출처"/>
    <x:tableColumn id="15" name="네이버 원문"/>
    <x:tableColumn id="16" name="편집 후보"/>
    <x:tableColumn id="17" name="검토 상태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videnceReviewTable" displayName="EvidenceReviewTable" ref="A1:J31" headerRowCount="1" totalsRowCount="0" totalsRowShown="0">
  <x:tableColumns count="10">
    <x:tableColumn id="1" name="게시일"/>
    <x:tableColumn id="2" name="연도"/>
    <x:tableColumn id="3" name="제목"/>
    <x:tableColumn id="4" name="수동 주제"/>
    <x:tableColumn id="5" name="출처 유형"/>
    <x:tableColumn id="6" name="근거 등급"/>
    <x:tableColumn id="7" name="원문 감리 요약"/>
    <x:tableColumn id="8" name="편집 지향점 반영"/>
    <x:tableColumn id="9" name="네이버 원문"/>
    <x:tableColumn id="10" name="외부 원출처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5d54a158b0f94eb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1.xml" Id="R126de208d4d0480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2.xml" Id="R2db20ad211d4408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10" defaultColWidth="8.83203125" defaultRowHeight="14"/>
  <x:cols>
    <x:col min="1" max="1" width="3.33203125" style="27" customWidth="1"/>
    <x:col min="2" max="2" width="20" style="27" customWidth="1"/>
    <x:col min="3" max="5" width="11" style="27" customWidth="1"/>
    <x:col min="6" max="17" width="13" style="27" customWidth="1"/>
    <x:col min="18" max="16384" width="8.83203125" style="27" customWidth="0"/>
  </x:cols>
  <x:sheetData>
    <x:row r="2" ht="24" customHeight="1">
      <x:c r="B2" s="39" t="str">
        <x:v>정룡필 웹소설 아카이브 대시보드</x:v>
      </x:c>
      <x:c r="C2" s="39"/>
      <x:c r="D2" s="39"/>
      <x:c r="E2" s="39"/>
      <x:c r="F2" s="39"/>
      <x:c r="G2" s="39"/>
      <x:c r="H2" s="39"/>
      <x:c r="I2" s="39"/>
      <x:c r="J2" s="40" t="str">
        <x:v>수집 범위</x:v>
      </x:c>
      <x:c r="K2" s="41" t="s">
        <x:v>0</x:v>
      </x:c>
      <x:c r="L2" s="41" t="s">
        <x:v>0</x:v>
      </x:c>
      <x:c r="M2" s="42" t="s">
        <x:v>0</x:v>
      </x:c>
      <x:c r="N2" s="40" t="str">
        <x:v>데이터 확인일</x:v>
      </x:c>
      <x:c r="O2" s="41" t="s">
        <x:v>1</x:v>
      </x:c>
      <x:c r="P2" s="41" t="s">
        <x:v>1</x:v>
      </x:c>
      <x:c r="Q2" s="42" t="s">
        <x:v>1</x:v>
      </x:c>
    </x:row>
    <x:row r="3" ht="24" customHeight="1">
      <x:c r="B3" s="38" t="str">
        <x:v>수집·분류·편집 통합 현황</x:v>
      </x:c>
      <x:c r="C3" s="38"/>
      <x:c r="D3" s="38"/>
      <x:c r="E3" s="38"/>
      <x:c r="F3" s="38"/>
      <x:c r="G3" s="38"/>
      <x:c r="H3" s="38"/>
      <x:c r="I3" s="38"/>
      <x:c r="J3" s="43" t="str">
        <x:v>2018-01-09 — 2023-04-16</x:v>
      </x:c>
      <x:c r="K3" s="44"/>
      <x:c r="L3" s="44"/>
      <x:c r="M3" s="45"/>
      <x:c r="N3" s="153" t="n">
        <x:v>46250</x:v>
      </x:c>
      <x:c r="O3" s="44"/>
      <x:c r="P3" s="44"/>
      <x:c r="Q3" s="45"/>
    </x:row>
    <x:row r="4" ht="20" customHeight="1">
      <x:c r="B4" s="46" t="str">
        <x:f>"Source: "&amp;'Data &amp; Targets'!$C$11</x:f>
        <x:v>Source: https://m.blog.naver.com/PostList.naver?blogId=sntu2010&amp;tab=1 · 공개 목록 및 공개 본문</x:v>
      </x:c>
      <x:c r="C4" s="46"/>
      <x:c r="D4" s="46"/>
      <x:c r="E4" s="46"/>
      <x:c r="F4" s="46"/>
      <x:c r="G4" s="46"/>
      <x:c r="H4" s="46"/>
      <x:c r="I4" s="46"/>
      <x:c r="J4" s="46"/>
      <x:c r="K4" s="46"/>
      <x:c r="L4" s="46"/>
      <x:c r="M4" s="46"/>
      <x:c r="N4" s="46"/>
      <x:c r="O4" s="46"/>
      <x:c r="P4" s="46"/>
      <x:c r="Q4" s="46"/>
    </x:row>
    <x:row r="5" ht="20" customHeight="1">
      <x:c r="B5" s="47" t="str">
        <x:v>전체 공개 글</x:v>
      </x:c>
      <x:c r="C5" s="48"/>
      <x:c r="D5" s="48"/>
      <x:c r="E5" s="49"/>
      <x:c r="F5" s="47" t="str">
        <x:v>웹소설 직접</x:v>
      </x:c>
      <x:c r="G5" s="48"/>
      <x:c r="H5" s="48"/>
      <x:c r="I5" s="49"/>
      <x:c r="J5" s="47" t="str">
        <x:v>출처 판정</x:v>
      </x:c>
      <x:c r="K5" s="48"/>
      <x:c r="L5" s="48"/>
      <x:c r="M5" s="49"/>
      <x:c r="N5" s="47" t="str">
        <x:v>원문 수동 감리</x:v>
      </x:c>
      <x:c r="O5" s="48" t="s">
        <x:v>2</x:v>
      </x:c>
      <x:c r="P5" s="48" t="s">
        <x:v>2</x:v>
      </x:c>
      <x:c r="Q5" s="49" t="s">
        <x:v>2</x:v>
      </x:c>
    </x:row>
    <x:row r="6" ht="27" customHeight="1">
      <x:c r="B6" s="154" t="n">
        <x:f>'_Chart Helpers'!$B$2</x:f>
        <x:v>1050</x:v>
      </x:c>
      <x:c r="C6" s="51"/>
      <x:c r="D6" s="51"/>
      <x:c r="E6" s="52"/>
      <x:c r="F6" s="154" t="n">
        <x:f>'_Chart Helpers'!$B$3</x:f>
        <x:v>609</x:v>
      </x:c>
      <x:c r="G6" s="51"/>
      <x:c r="H6" s="51"/>
      <x:c r="I6" s="52"/>
      <x:c r="J6" s="155" t="n">
        <x:f>'_Chart Helpers'!$B$4</x:f>
        <x:v>1</x:v>
      </x:c>
      <x:c r="K6" s="54"/>
      <x:c r="L6" s="54"/>
      <x:c r="M6" s="55"/>
      <x:c r="N6" s="154" t="n">
        <x:f>'_Chart Helpers'!$B$5</x:f>
        <x:v>30</x:v>
      </x:c>
      <x:c r="O6" s="54"/>
      <x:c r="P6" s="54"/>
      <x:c r="Q6" s="55"/>
    </x:row>
    <x:row r="7" ht="27" customHeight="1">
      <x:c r="B7" s="50"/>
      <x:c r="C7" s="51"/>
      <x:c r="D7" s="51"/>
      <x:c r="E7" s="52"/>
      <x:c r="F7" s="50"/>
      <x:c r="G7" s="51"/>
      <x:c r="H7" s="51"/>
      <x:c r="I7" s="52"/>
      <x:c r="J7" s="53"/>
      <x:c r="K7" s="54"/>
      <x:c r="L7" s="54"/>
      <x:c r="M7" s="55"/>
      <x:c r="N7" s="53"/>
      <x:c r="O7" s="54"/>
      <x:c r="P7" s="54"/>
      <x:c r="Q7" s="55"/>
    </x:row>
    <x:row r="8" ht="20" customHeight="1">
      <x:c r="B8" s="156" t="n">
        <x:f>IFERROR('_Chart Helpers'!$B$2/'_Chart Helpers'!$D$2,"")</x:f>
        <x:v>1</x:v>
      </x:c>
      <x:c r="C8" s="157" t="str">
        <x:v>기준 대비</x:v>
      </x:c>
      <x:c r="D8" s="158" t="n">
        <x:f>IFERROR('_Chart Helpers'!$B$2/'_Chart Helpers'!$C$2-1,"")</x:f>
        <x:v>0</x:v>
      </x:c>
      <x:c r="E8" s="159" t="str">
        <x:v>목표 대비</x:v>
      </x:c>
      <x:c r="F8" s="156" t="n">
        <x:f>IFERROR('_Chart Helpers'!$B$3/'_Chart Helpers'!$D$3,"")</x:f>
        <x:v>0.58</x:v>
      </x:c>
      <x:c r="G8" s="157" t="str">
        <x:v>기준 대비</x:v>
      </x:c>
      <x:c r="H8" s="158" t="n">
        <x:f>IFERROR('_Chart Helpers'!$B$3/'_Chart Helpers'!$C$3-1,"")</x:f>
        <x:v>0</x:v>
      </x:c>
      <x:c r="I8" s="159" t="str">
        <x:v>목표 대비</x:v>
      </x:c>
      <x:c r="J8" s="156" t="n">
        <x:f>IFERROR('_Chart Helpers'!$B$4/'_Chart Helpers'!$D$4,"")</x:f>
        <x:v>1</x:v>
      </x:c>
      <x:c r="K8" s="157" t="str">
        <x:v>기준 대비</x:v>
      </x:c>
      <x:c r="L8" s="158" t="n">
        <x:f>IFERROR('_Chart Helpers'!$B$4/'_Chart Helpers'!$C$4-1,"")</x:f>
        <x:v>0</x:v>
      </x:c>
      <x:c r="M8" s="159" t="str">
        <x:v>목표 대비</x:v>
      </x:c>
      <x:c r="N8" s="156" t="n">
        <x:f>IFERROR('_Chart Helpers'!$B$5/'_Chart Helpers'!$D$5,"")</x:f>
        <x:v>0.04926108374384237</x:v>
      </x:c>
      <x:c r="O8" s="157" t="str">
        <x:v>기준 대비</x:v>
      </x:c>
      <x:c r="P8" s="158" t="n">
        <x:f>IFERROR('_Chart Helpers'!$B$5/'_Chart Helpers'!$C$5-1,"")</x:f>
        <x:v>-0.4</x:v>
      </x:c>
      <x:c r="Q8" s="159" t="str">
        <x:v>목표 대비</x:v>
      </x:c>
    </x:row>
    <x:row r="9">
      <x:c r="B9" s="12"/>
      <x:c r="C9" s="12"/>
      <x:c r="D9" s="12"/>
      <x:c r="E9" s="12"/>
      <x:c r="F9" s="12"/>
      <x:c r="G9" s="12"/>
      <x:c r="H9" s="12"/>
      <x:c r="I9" s="12"/>
      <x:c r="J9" s="12"/>
      <x:c r="K9" s="12"/>
      <x:c r="L9" s="12"/>
      <x:c r="M9" s="12"/>
      <x:c r="N9" s="12"/>
      <x:c r="O9" s="12"/>
      <x:c r="P9" s="12"/>
      <x:c r="Q9" s="12"/>
    </x:row>
    <x:row r="10" ht="20" customHeight="1">
      <x:c r="B10" s="47" t="str">
        <x:v>수집 연도</x:v>
      </x:c>
      <x:c r="C10" s="48"/>
      <x:c r="D10" s="48"/>
      <x:c r="E10" s="49"/>
      <x:c r="F10" s="47" t="str">
        <x:v>편집 후보</x:v>
      </x:c>
      <x:c r="G10" s="48"/>
      <x:c r="H10" s="48"/>
      <x:c r="I10" s="49"/>
      <x:c r="J10" s="47" t="str">
        <x:v>재게시 비중</x:v>
      </x:c>
      <x:c r="K10" s="48"/>
      <x:c r="L10" s="48"/>
      <x:c r="M10" s="49"/>
      <x:c r="N10" s="47" t="str">
        <x:v>통합 원칙</x:v>
      </x:c>
      <x:c r="O10" s="48" t="s">
        <x:v>3</x:v>
      </x:c>
      <x:c r="P10" s="48" t="s">
        <x:v>3</x:v>
      </x:c>
      <x:c r="Q10" s="49" t="s">
        <x:v>3</x:v>
      </x:c>
    </x:row>
    <x:row r="11" ht="27" customHeight="1">
      <x:c r="B11" s="154" t="n">
        <x:f>'_Chart Helpers'!$B$6</x:f>
        <x:v>6</x:v>
      </x:c>
      <x:c r="C11" s="79"/>
      <x:c r="D11" s="79"/>
      <x:c r="E11" s="80"/>
      <x:c r="F11" s="154" t="n">
        <x:f>'_Chart Helpers'!$B$7</x:f>
        <x:v>377</x:v>
      </x:c>
      <x:c r="G11" s="82"/>
      <x:c r="H11" s="82"/>
      <x:c r="I11" s="83"/>
      <x:c r="J11" s="155" t="n">
        <x:f>'_Chart Helpers'!$B$8</x:f>
        <x:v>0.7553366174055829</x:v>
      </x:c>
      <x:c r="K11" s="54"/>
      <x:c r="L11" s="54"/>
      <x:c r="M11" s="55"/>
      <x:c r="N11" s="154" t="n">
        <x:f>'_Chart Helpers'!$B$9</x:f>
        <x:v>12</x:v>
      </x:c>
      <x:c r="O11" s="76"/>
      <x:c r="P11" s="76"/>
      <x:c r="Q11" s="77"/>
    </x:row>
    <x:row r="12" ht="27" customHeight="1">
      <x:c r="B12" s="78"/>
      <x:c r="C12" s="79"/>
      <x:c r="D12" s="79"/>
      <x:c r="E12" s="80"/>
      <x:c r="F12" s="81"/>
      <x:c r="G12" s="82"/>
      <x:c r="H12" s="82"/>
      <x:c r="I12" s="83"/>
      <x:c r="J12" s="53"/>
      <x:c r="K12" s="54"/>
      <x:c r="L12" s="54"/>
      <x:c r="M12" s="55"/>
      <x:c r="N12" s="75"/>
      <x:c r="O12" s="76"/>
      <x:c r="P12" s="76"/>
      <x:c r="Q12" s="77"/>
    </x:row>
    <x:row r="13" ht="20" customHeight="1">
      <x:c r="B13" s="156" t="n">
        <x:f>IFERROR('_Chart Helpers'!$B$6/'_Chart Helpers'!$D$6,"")</x:f>
        <x:v>1</x:v>
      </x:c>
      <x:c r="C13" s="157" t="str">
        <x:v>기준 대비</x:v>
      </x:c>
      <x:c r="D13" s="158" t="n">
        <x:f>IFERROR('_Chart Helpers'!$B$6/'_Chart Helpers'!$C$6-1,"")</x:f>
        <x:v>0</x:v>
      </x:c>
      <x:c r="E13" s="159" t="str">
        <x:v>목표 대비</x:v>
      </x:c>
      <x:c r="F13" s="156" t="n">
        <x:f>IFERROR('_Chart Helpers'!$B$7/'_Chart Helpers'!$D$7,"")</x:f>
        <x:v>0.6190476190476191</x:v>
      </x:c>
      <x:c r="G13" s="157" t="str">
        <x:v>기준 대비</x:v>
      </x:c>
      <x:c r="H13" s="158" t="n">
        <x:f>IFERROR('_Chart Helpers'!$B$7/'_Chart Helpers'!$C$7-1,"")</x:f>
        <x:v>-0.38095238095238093</x:v>
      </x:c>
      <x:c r="I13" s="159" t="str">
        <x:v>목표 대비</x:v>
      </x:c>
      <x:c r="J13" s="156" t="n">
        <x:f>IFERROR('_Chart Helpers'!$B$8/'_Chart Helpers'!$D$8,"")</x:f>
        <x:v>0.0012402900121602346</x:v>
      </x:c>
      <x:c r="K13" s="157" t="str">
        <x:v>기준 대비</x:v>
      </x:c>
      <x:c r="L13" s="158" t="str">
        <x:f>IFERROR('_Chart Helpers'!$B$8/'_Chart Helpers'!$C$8-1,"")</x:f>
      </x:c>
      <x:c r="M13" s="159" t="str">
        <x:v>목표 대비</x:v>
      </x:c>
      <x:c r="N13" s="156" t="n">
        <x:f>IFERROR('_Chart Helpers'!$B$9/'_Chart Helpers'!$D$9,"")</x:f>
        <x:v>1</x:v>
      </x:c>
      <x:c r="O13" s="157" t="str">
        <x:v>기준 대비</x:v>
      </x:c>
      <x:c r="P13" s="158" t="n">
        <x:f>IFERROR('_Chart Helpers'!$B$9/'_Chart Helpers'!$C$9-1,"")</x:f>
        <x:v>0</x:v>
      </x:c>
      <x:c r="Q13" s="159" t="str">
        <x:v>목표 대비</x:v>
      </x:c>
    </x:row>
    <x:row r="14">
      <x:c r="B14" s="12"/>
      <x:c r="C14" s="12"/>
      <x:c r="D14" s="12"/>
      <x:c r="E14" s="12"/>
      <x:c r="F14" s="12"/>
      <x:c r="G14" s="12"/>
      <x:c r="H14" s="12"/>
      <x:c r="I14" s="12"/>
      <x:c r="J14" s="12"/>
      <x:c r="K14" s="12"/>
      <x:c r="L14" s="12"/>
      <x:c r="M14" s="12"/>
      <x:c r="N14" s="12"/>
      <x:c r="O14" s="12"/>
      <x:c r="P14" s="12"/>
      <x:c r="Q14" s="12"/>
    </x:row>
    <x:row r="15" ht="22" customHeight="1">
      <x:c r="B15" s="56" t="str">
        <x:v>연도별 게시글 — 전체와 웹소설 직접</x:v>
      </x:c>
      <x:c r="C15" s="56" t="s">
        <x:v>4</x:v>
      </x:c>
      <x:c r="D15" s="56" t="s">
        <x:v>4</x:v>
      </x:c>
      <x:c r="E15" s="56" t="s">
        <x:v>4</x:v>
      </x:c>
      <x:c r="F15" s="56" t="s">
        <x:v>4</x:v>
      </x:c>
      <x:c r="G15" s="56" t="s">
        <x:v>4</x:v>
      </x:c>
      <x:c r="H15" s="56" t="s">
        <x:v>4</x:v>
      </x:c>
      <x:c r="I15" s="56" t="s">
        <x:v>4</x:v>
      </x:c>
      <x:c r="J15" s="56" t="str">
        <x:v>웹소설 직접 글의 자동 주제 분포</x:v>
      </x:c>
      <x:c r="K15" s="56" t="s">
        <x:v>5</x:v>
      </x:c>
      <x:c r="L15" s="56" t="s">
        <x:v>5</x:v>
      </x:c>
      <x:c r="M15" s="56" t="s">
        <x:v>5</x:v>
      </x:c>
      <x:c r="N15" s="56" t="s">
        <x:v>5</x:v>
      </x:c>
      <x:c r="O15" s="56" t="s">
        <x:v>5</x:v>
      </x:c>
      <x:c r="P15" s="56" t="s">
        <x:v>5</x:v>
      </x:c>
      <x:c r="Q15" s="56" t="s">
        <x:v>5</x:v>
      </x:c>
    </x:row>
    <x:row r="16">
      <x:c r="B16" s="12"/>
      <x:c r="C16" s="12"/>
      <x:c r="D16" s="12"/>
      <x:c r="E16" s="12"/>
      <x:c r="F16" s="12"/>
      <x:c r="G16" s="12"/>
      <x:c r="H16" s="12"/>
      <x:c r="I16" s="12"/>
      <x:c r="J16" s="12"/>
      <x:c r="K16" s="12"/>
      <x:c r="L16" s="12"/>
      <x:c r="M16" s="12"/>
      <x:c r="N16" s="12"/>
      <x:c r="O16" s="12"/>
      <x:c r="P16" s="12"/>
      <x:c r="Q16" s="12"/>
    </x:row>
    <x:row r="17">
      <x:c r="B17" s="12"/>
      <x:c r="C17" s="12"/>
      <x:c r="D17" s="12"/>
      <x:c r="E17" s="12"/>
      <x:c r="F17" s="12"/>
      <x:c r="G17" s="12"/>
      <x:c r="H17" s="12"/>
      <x:c r="I17" s="12"/>
      <x:c r="J17" s="12"/>
      <x:c r="K17" s="12"/>
      <x:c r="L17" s="12"/>
      <x:c r="M17" s="12"/>
      <x:c r="N17" s="12"/>
      <x:c r="O17" s="12"/>
      <x:c r="P17" s="12"/>
      <x:c r="Q17" s="12"/>
    </x:row>
    <x:row r="18">
      <x:c r="B18" s="12"/>
      <x:c r="C18" s="12"/>
      <x:c r="D18" s="12"/>
      <x:c r="E18" s="12"/>
      <x:c r="F18" s="12"/>
      <x:c r="G18" s="12"/>
      <x:c r="H18" s="12"/>
      <x:c r="I18" s="12"/>
      <x:c r="J18" s="12"/>
      <x:c r="K18" s="12"/>
      <x:c r="L18" s="12"/>
      <x:c r="M18" s="12"/>
      <x:c r="N18" s="12"/>
      <x:c r="O18" s="12"/>
      <x:c r="P18" s="12"/>
      <x:c r="Q18" s="12"/>
    </x:row>
    <x:row r="19">
      <x:c r="B19" s="12"/>
      <x:c r="C19" s="12"/>
      <x:c r="D19" s="12"/>
      <x:c r="E19" s="12"/>
      <x:c r="F19" s="12"/>
      <x:c r="G19" s="12"/>
      <x:c r="H19" s="12"/>
      <x:c r="I19" s="12"/>
      <x:c r="J19" s="12"/>
      <x:c r="K19" s="12"/>
      <x:c r="L19" s="12"/>
      <x:c r="M19" s="12"/>
      <x:c r="N19" s="12"/>
      <x:c r="O19" s="12"/>
      <x:c r="P19" s="12"/>
      <x:c r="Q19" s="12"/>
    </x:row>
    <x:row r="20">
      <x:c r="B20" s="12"/>
      <x:c r="C20" s="12"/>
      <x:c r="D20" s="12"/>
      <x:c r="E20" s="12"/>
      <x:c r="F20" s="12"/>
      <x:c r="G20" s="12"/>
      <x:c r="H20" s="12"/>
      <x:c r="I20" s="12"/>
      <x:c r="J20" s="12"/>
      <x:c r="K20" s="12"/>
      <x:c r="L20" s="12"/>
      <x:c r="M20" s="12"/>
      <x:c r="N20" s="12"/>
      <x:c r="O20" s="12"/>
      <x:c r="P20" s="12"/>
      <x:c r="Q20" s="12"/>
    </x:row>
    <x:row r="21">
      <x:c r="B21" s="12"/>
      <x:c r="C21" s="12"/>
      <x:c r="D21" s="12"/>
      <x:c r="E21" s="12"/>
      <x:c r="F21" s="12"/>
      <x:c r="G21" s="12"/>
      <x:c r="H21" s="12"/>
      <x:c r="I21" s="12"/>
      <x:c r="J21" s="12"/>
      <x:c r="K21" s="12"/>
      <x:c r="L21" s="12"/>
      <x:c r="M21" s="12"/>
      <x:c r="N21" s="12"/>
      <x:c r="O21" s="12"/>
      <x:c r="P21" s="12"/>
      <x:c r="Q21" s="12"/>
    </x:row>
    <x:row r="22">
      <x:c r="B22" s="12"/>
      <x:c r="C22" s="12"/>
      <x:c r="D22" s="12"/>
      <x:c r="E22" s="12"/>
      <x:c r="F22" s="12"/>
      <x:c r="G22" s="12"/>
      <x:c r="H22" s="12"/>
      <x:c r="I22" s="12"/>
      <x:c r="J22" s="12"/>
      <x:c r="K22" s="12"/>
      <x:c r="L22" s="12"/>
      <x:c r="M22" s="12"/>
      <x:c r="N22" s="12"/>
      <x:c r="O22" s="12"/>
      <x:c r="P22" s="12"/>
      <x:c r="Q22" s="12"/>
    </x:row>
    <x:row r="23">
      <x:c r="B23" s="12"/>
      <x:c r="C23" s="12"/>
      <x:c r="D23" s="12"/>
      <x:c r="E23" s="12"/>
      <x:c r="F23" s="12"/>
      <x:c r="G23" s="12"/>
      <x:c r="H23" s="12"/>
      <x:c r="I23" s="12"/>
      <x:c r="J23" s="12"/>
      <x:c r="K23" s="12"/>
      <x:c r="L23" s="12"/>
      <x:c r="M23" s="12"/>
      <x:c r="N23" s="12"/>
      <x:c r="O23" s="12"/>
      <x:c r="P23" s="12"/>
      <x:c r="Q23" s="12"/>
    </x:row>
    <x:row r="24">
      <x:c r="B24" s="12"/>
      <x:c r="C24" s="12"/>
      <x:c r="D24" s="12"/>
      <x:c r="E24" s="12"/>
      <x:c r="F24" s="12"/>
      <x:c r="G24" s="12"/>
      <x:c r="H24" s="12"/>
      <x:c r="I24" s="12"/>
      <x:c r="J24" s="12"/>
      <x:c r="K24" s="12"/>
      <x:c r="L24" s="12"/>
      <x:c r="M24" s="12"/>
      <x:c r="N24" s="12"/>
      <x:c r="O24" s="12"/>
      <x:c r="P24" s="12"/>
      <x:c r="Q24" s="12"/>
    </x:row>
    <x:row r="25">
      <x:c r="B25" s="12"/>
      <x:c r="C25" s="12"/>
      <x:c r="D25" s="12"/>
      <x:c r="E25" s="12"/>
      <x:c r="F25" s="12"/>
      <x:c r="G25" s="12"/>
      <x:c r="H25" s="12"/>
      <x:c r="I25" s="12"/>
      <x:c r="J25" s="12"/>
      <x:c r="K25" s="12"/>
      <x:c r="L25" s="12"/>
      <x:c r="M25" s="12"/>
      <x:c r="N25" s="12"/>
      <x:c r="O25" s="12"/>
      <x:c r="P25" s="12"/>
      <x:c r="Q25" s="12"/>
    </x:row>
    <x:row r="26">
      <x:c r="B26" s="12"/>
      <x:c r="C26" s="12"/>
      <x:c r="D26" s="12"/>
      <x:c r="E26" s="12"/>
      <x:c r="F26" s="12"/>
      <x:c r="G26" s="12"/>
      <x:c r="H26" s="12"/>
      <x:c r="I26" s="12"/>
      <x:c r="J26" s="12"/>
      <x:c r="K26" s="12"/>
      <x:c r="L26" s="12"/>
      <x:c r="M26" s="12"/>
      <x:c r="N26" s="12"/>
      <x:c r="O26" s="12"/>
      <x:c r="P26" s="12"/>
      <x:c r="Q26" s="12"/>
    </x:row>
    <x:row r="27">
      <x:c r="B27" s="12"/>
      <x:c r="C27" s="12"/>
      <x:c r="D27" s="12"/>
      <x:c r="E27" s="12"/>
      <x:c r="F27" s="12"/>
      <x:c r="G27" s="12"/>
      <x:c r="H27" s="12"/>
      <x:c r="I27" s="12"/>
      <x:c r="J27" s="12"/>
      <x:c r="K27" s="12"/>
      <x:c r="L27" s="12"/>
      <x:c r="M27" s="12"/>
      <x:c r="N27" s="12"/>
      <x:c r="O27" s="12"/>
      <x:c r="P27" s="12"/>
      <x:c r="Q27" s="12"/>
    </x:row>
    <x:row r="28">
      <x:c r="B28" s="12"/>
      <x:c r="C28" s="12"/>
      <x:c r="D28" s="12"/>
      <x:c r="E28" s="12"/>
      <x:c r="F28" s="12"/>
      <x:c r="G28" s="12"/>
      <x:c r="H28" s="12"/>
      <x:c r="I28" s="12"/>
      <x:c r="J28" s="12"/>
      <x:c r="K28" s="12"/>
      <x:c r="L28" s="12"/>
      <x:c r="M28" s="12"/>
      <x:c r="N28" s="12"/>
      <x:c r="O28" s="12"/>
      <x:c r="P28" s="12"/>
      <x:c r="Q28" s="12"/>
    </x:row>
    <x:row r="29" ht="22" customHeight="1">
      <x:c r="B29" s="56" t="str">
        <x:v>수집·편집 퍼널</x:v>
      </x:c>
      <x:c r="C29" s="56" t="s">
        <x:v>6</x:v>
      </x:c>
      <x:c r="D29" s="56" t="s">
        <x:v>6</x:v>
      </x:c>
      <x:c r="E29" s="56" t="s">
        <x:v>6</x:v>
      </x:c>
      <x:c r="F29" s="56" t="s">
        <x:v>6</x:v>
      </x:c>
      <x:c r="G29" s="56" t="s">
        <x:v>6</x:v>
      </x:c>
      <x:c r="H29" s="56" t="s">
        <x:v>6</x:v>
      </x:c>
      <x:c r="I29" s="56" t="s">
        <x:v>6</x:v>
      </x:c>
      <x:c r="J29" s="56" t="str">
        <x:v>웹소설 직접 글의 출처 유형</x:v>
      </x:c>
      <x:c r="K29" s="56" t="s">
        <x:v>7</x:v>
      </x:c>
      <x:c r="L29" s="56" t="s">
        <x:v>7</x:v>
      </x:c>
      <x:c r="M29" s="56" t="s">
        <x:v>7</x:v>
      </x:c>
      <x:c r="N29" s="56" t="s">
        <x:v>7</x:v>
      </x:c>
      <x:c r="O29" s="56" t="s">
        <x:v>7</x:v>
      </x:c>
      <x:c r="P29" s="56" t="s">
        <x:v>7</x:v>
      </x:c>
      <x:c r="Q29" s="56" t="s">
        <x:v>7</x:v>
      </x:c>
    </x:row>
    <x:row r="30">
      <x:c r="B30" s="12"/>
      <x:c r="C30" s="12"/>
      <x:c r="D30" s="12"/>
      <x:c r="E30" s="12"/>
      <x:c r="F30" s="12"/>
      <x:c r="G30" s="12"/>
      <x:c r="H30" s="12"/>
      <x:c r="I30" s="12"/>
      <x:c r="J30" s="12"/>
      <x:c r="K30" s="12"/>
      <x:c r="L30" s="12"/>
      <x:c r="M30" s="12"/>
      <x:c r="N30" s="12"/>
      <x:c r="O30" s="12"/>
      <x:c r="P30" s="12"/>
      <x:c r="Q30" s="12"/>
    </x:row>
    <x:row r="31">
      <x:c r="B31" s="12"/>
      <x:c r="C31" s="12"/>
      <x:c r="D31" s="12"/>
      <x:c r="E31" s="12"/>
      <x:c r="F31" s="12"/>
      <x:c r="G31" s="12"/>
      <x:c r="H31" s="12"/>
      <x:c r="I31" s="12"/>
      <x:c r="J31" s="12"/>
      <x:c r="K31" s="12"/>
      <x:c r="L31" s="12"/>
      <x:c r="M31" s="12"/>
      <x:c r="N31" s="12"/>
      <x:c r="O31" s="12"/>
      <x:c r="P31" s="12"/>
      <x:c r="Q31" s="12"/>
    </x:row>
    <x:row r="32">
      <x:c r="B32" s="12"/>
      <x:c r="C32" s="12"/>
      <x:c r="D32" s="12"/>
      <x:c r="E32" s="12"/>
      <x:c r="F32" s="12"/>
      <x:c r="G32" s="12"/>
      <x:c r="H32" s="12"/>
      <x:c r="I32" s="12"/>
      <x:c r="J32" s="12"/>
      <x:c r="K32" s="12"/>
      <x:c r="L32" s="12"/>
      <x:c r="M32" s="12"/>
      <x:c r="N32" s="12"/>
      <x:c r="O32" s="12"/>
      <x:c r="P32" s="12"/>
      <x:c r="Q32" s="12"/>
    </x:row>
    <x:row r="33">
      <x:c r="B33" s="12"/>
      <x:c r="C33" s="12"/>
      <x:c r="D33" s="12"/>
      <x:c r="E33" s="12"/>
      <x:c r="F33" s="12"/>
      <x:c r="G33" s="12"/>
      <x:c r="H33" s="12"/>
      <x:c r="I33" s="12"/>
      <x:c r="J33" s="12"/>
      <x:c r="K33" s="12"/>
      <x:c r="L33" s="12"/>
      <x:c r="M33" s="12"/>
      <x:c r="N33" s="12"/>
      <x:c r="O33" s="12"/>
      <x:c r="P33" s="12"/>
      <x:c r="Q33" s="12"/>
    </x:row>
    <x:row r="34">
      <x:c r="B34" s="12"/>
      <x:c r="C34" s="12"/>
      <x:c r="D34" s="12"/>
      <x:c r="E34" s="12"/>
      <x:c r="F34" s="12"/>
      <x:c r="G34" s="12"/>
      <x:c r="H34" s="12"/>
      <x:c r="I34" s="12"/>
      <x:c r="J34" s="12"/>
      <x:c r="K34" s="12"/>
      <x:c r="L34" s="12"/>
      <x:c r="M34" s="12"/>
      <x:c r="N34" s="12"/>
      <x:c r="O34" s="12"/>
      <x:c r="P34" s="12"/>
      <x:c r="Q34" s="12"/>
    </x:row>
    <x:row r="35">
      <x:c r="B35" s="12"/>
      <x:c r="C35" s="12"/>
      <x:c r="D35" s="12"/>
      <x:c r="E35" s="12"/>
      <x:c r="F35" s="12"/>
      <x:c r="G35" s="12"/>
      <x:c r="H35" s="12"/>
      <x:c r="I35" s="12"/>
      <x:c r="J35" s="12"/>
      <x:c r="K35" s="12"/>
      <x:c r="L35" s="12"/>
      <x:c r="M35" s="12"/>
      <x:c r="N35" s="12"/>
      <x:c r="O35" s="12"/>
      <x:c r="P35" s="12"/>
      <x:c r="Q35" s="12"/>
    </x:row>
    <x:row r="36">
      <x:c r="B36" s="12"/>
      <x:c r="C36" s="12"/>
      <x:c r="D36" s="12"/>
      <x:c r="E36" s="12"/>
      <x:c r="F36" s="12"/>
      <x:c r="G36" s="12"/>
      <x:c r="H36" s="12"/>
      <x:c r="I36" s="12"/>
      <x:c r="J36" s="12"/>
      <x:c r="K36" s="12"/>
      <x:c r="L36" s="12"/>
      <x:c r="M36" s="12"/>
      <x:c r="N36" s="12"/>
      <x:c r="O36" s="12"/>
      <x:c r="P36" s="12"/>
      <x:c r="Q36" s="12"/>
    </x:row>
    <x:row r="37">
      <x:c r="B37" s="12"/>
      <x:c r="C37" s="12"/>
      <x:c r="D37" s="12"/>
      <x:c r="E37" s="12"/>
      <x:c r="F37" s="12"/>
      <x:c r="G37" s="12"/>
      <x:c r="H37" s="12"/>
      <x:c r="I37" s="12"/>
      <x:c r="J37" s="12"/>
      <x:c r="K37" s="12"/>
      <x:c r="L37" s="12"/>
      <x:c r="M37" s="12"/>
      <x:c r="N37" s="12"/>
      <x:c r="O37" s="12"/>
      <x:c r="P37" s="12"/>
      <x:c r="Q37" s="12"/>
    </x:row>
    <x:row r="38">
      <x:c r="B38" s="12"/>
      <x:c r="C38" s="12"/>
      <x:c r="D38" s="12"/>
      <x:c r="E38" s="12"/>
      <x:c r="F38" s="12"/>
      <x:c r="G38" s="12"/>
      <x:c r="H38" s="12"/>
      <x:c r="I38" s="12"/>
      <x:c r="J38" s="12"/>
      <x:c r="K38" s="12"/>
      <x:c r="L38" s="12"/>
      <x:c r="M38" s="12"/>
      <x:c r="N38" s="12"/>
      <x:c r="O38" s="12"/>
      <x:c r="P38" s="12"/>
      <x:c r="Q38" s="12"/>
    </x:row>
    <x:row r="39">
      <x:c r="B39" s="12"/>
      <x:c r="C39" s="12"/>
      <x:c r="D39" s="12"/>
      <x:c r="E39" s="12"/>
      <x:c r="F39" s="12"/>
      <x:c r="G39" s="12"/>
      <x:c r="H39" s="12"/>
      <x:c r="I39" s="12"/>
      <x:c r="J39" s="12"/>
      <x:c r="K39" s="12"/>
      <x:c r="L39" s="12"/>
      <x:c r="M39" s="12"/>
      <x:c r="N39" s="12"/>
      <x:c r="O39" s="12"/>
      <x:c r="P39" s="12"/>
      <x:c r="Q39" s="12"/>
    </x:row>
    <x:row r="40">
      <x:c r="B40" s="12"/>
      <x:c r="C40" s="12"/>
      <x:c r="D40" s="12"/>
      <x:c r="E40" s="12"/>
      <x:c r="F40" s="12"/>
      <x:c r="G40" s="12"/>
      <x:c r="H40" s="12"/>
      <x:c r="I40" s="12"/>
      <x:c r="J40" s="12"/>
      <x:c r="K40" s="12"/>
      <x:c r="L40" s="12"/>
      <x:c r="M40" s="12"/>
      <x:c r="N40" s="12"/>
      <x:c r="O40" s="12"/>
      <x:c r="P40" s="12"/>
      <x:c r="Q40" s="12"/>
    </x:row>
    <x:row r="41">
      <x:c r="B41" s="12"/>
      <x:c r="C41" s="12"/>
      <x:c r="D41" s="12"/>
      <x:c r="E41" s="12"/>
      <x:c r="F41" s="12"/>
      <x:c r="G41" s="12"/>
      <x:c r="H41" s="12"/>
      <x:c r="I41" s="12"/>
      <x:c r="J41" s="12"/>
      <x:c r="K41" s="12"/>
      <x:c r="L41" s="12"/>
      <x:c r="M41" s="12"/>
      <x:c r="N41" s="12"/>
      <x:c r="O41" s="12"/>
      <x:c r="P41" s="12"/>
      <x:c r="Q41" s="12"/>
    </x:row>
    <x:row r="42">
      <x:c r="B42" s="12"/>
      <x:c r="C42" s="12"/>
      <x:c r="D42" s="12"/>
      <x:c r="E42" s="12"/>
      <x:c r="F42" s="12"/>
      <x:c r="G42" s="12"/>
      <x:c r="H42" s="12"/>
      <x:c r="I42" s="12"/>
      <x:c r="J42" s="12"/>
      <x:c r="K42" s="12"/>
      <x:c r="L42" s="12"/>
      <x:c r="M42" s="12"/>
      <x:c r="N42" s="12"/>
      <x:c r="O42" s="12"/>
      <x:c r="P42" s="12"/>
      <x:c r="Q42" s="12"/>
    </x:row>
    <x:row r="43" ht="22" customHeight="1">
      <x:c r="B43" s="56" t="str">
        <x:v>아카이브 품질·통합 상태</x:v>
      </x:c>
      <x:c r="C43" s="56" t="s">
        <x:v>8</x:v>
      </x:c>
      <x:c r="D43" s="56" t="s">
        <x:v>8</x:v>
      </x:c>
      <x:c r="E43" s="56" t="s">
        <x:v>8</x:v>
      </x:c>
      <x:c r="F43" s="56" t="s">
        <x:v>8</x:v>
      </x:c>
      <x:c r="G43" s="56" t="s">
        <x:v>8</x:v>
      </x:c>
      <x:c r="H43" s="56" t="s">
        <x:v>8</x:v>
      </x:c>
      <x:c r="I43" s="56" t="s">
        <x:v>8</x:v>
      </x:c>
      <x:c r="J43" s="56"/>
      <x:c r="K43" s="56"/>
      <x:c r="L43" s="56"/>
      <x:c r="M43" s="56"/>
      <x:c r="N43" s="56"/>
      <x:c r="O43" s="56"/>
      <x:c r="P43" s="56"/>
      <x:c r="Q43" s="56"/>
    </x:row>
    <x:row r="44" ht="26" customHeight="1">
      <x:c r="B44" s="17" t="str">
        <x:v>지표</x:v>
      </x:c>
      <x:c r="C44" s="17" t="str">
        <x:v>판정 기준</x:v>
      </x:c>
      <x:c r="D44" s="17" t="str">
        <x:v>실제</x:v>
      </x:c>
      <x:c r="E44" s="17" t="str">
        <x:v>기준</x:v>
      </x:c>
      <x:c r="F44" s="17" t="str">
        <x:v>차이</x:v>
      </x:c>
      <x:c r="G44" s="17" t="str">
        <x:v>진척률</x:v>
      </x:c>
      <x:c r="H44" s="17" t="str">
        <x:v>상태</x:v>
      </x:c>
      <x:c r="I44" s="12"/>
      <x:c r="J44" s="12"/>
      <x:c r="K44" s="12"/>
      <x:c r="L44" s="12"/>
      <x:c r="M44" s="12"/>
      <x:c r="N44" s="12"/>
      <x:c r="O44" s="12"/>
      <x:c r="P44" s="12"/>
      <x:c r="Q44" s="12"/>
    </x:row>
    <x:row r="45">
      <x:c r="B45" s="18" t="str">
        <x:v>전체 공개 글</x:v>
      </x:c>
      <x:c r="C45" s="19" t="str">
        <x:v>정본</x:v>
      </x:c>
      <x:c r="D45" s="160" t="n">
        <x:f>'_Chart Helpers'!B2</x:f>
        <x:v>1050</x:v>
      </x:c>
      <x:c r="E45" s="160" t="n">
        <x:f>'_Chart Helpers'!C2</x:f>
        <x:v>1050</x:v>
      </x:c>
      <x:c r="F45" s="160" t="n">
        <x:f t="shared" ref="F45:F52" si="0">D45-E45</x:f>
        <x:v>0</x:v>
      </x:c>
      <x:c r="G45" s="161" t="n">
        <x:f t="shared" ref="G45:G52" si="1">IFERROR(D45/E45,0)</x:f>
        <x:v>1</x:v>
      </x:c>
      <x:c r="H45" s="19" t="str">
        <x:f>IF(D45&gt;=E45,"완료","진행")</x:f>
        <x:v>완료</x:v>
      </x:c>
      <x:c r="I45" s="12"/>
      <x:c r="J45" s="162" t="str">
        <x:v>출처 유형은 제목·본문 앞부분의 표시를 근거로 한 탐색용 판정이다. 재게시 글은 정룡필 본인 이론으로 간주하지 않는다.</x:v>
      </x:c>
      <x:c r="K45" s="163"/>
      <x:c r="L45" s="163"/>
      <x:c r="M45" s="163"/>
      <x:c r="N45" s="163"/>
      <x:c r="O45" s="163"/>
      <x:c r="P45" s="163"/>
      <x:c r="Q45" s="164"/>
    </x:row>
    <x:row r="46">
      <x:c r="B46" s="18" t="str">
        <x:v>웹소설 직접</x:v>
      </x:c>
      <x:c r="C46" s="19" t="str">
        <x:v>범위</x:v>
      </x:c>
      <x:c r="D46" s="160" t="n">
        <x:f>'_Chart Helpers'!B3</x:f>
        <x:v>609</x:v>
      </x:c>
      <x:c r="E46" s="160" t="n">
        <x:f>'_Chart Helpers'!C3</x:f>
        <x:v>609</x:v>
      </x:c>
      <x:c r="F46" s="160" t="n">
        <x:f t="shared" si="0">D46-E46</x:f>
        <x:v>0</x:v>
      </x:c>
      <x:c r="G46" s="161" t="n">
        <x:f t="shared" si="1">IFERROR(D46/E46,0)</x:f>
        <x:v>1</x:v>
      </x:c>
      <x:c r="H46" s="19" t="str">
        <x:f>IF(D46&gt;=E46,"완료","진행")</x:f>
        <x:v>완료</x:v>
      </x:c>
      <x:c r="I46" s="12"/>
      <x:c r="J46" s="165"/>
      <x:c r="K46" s="166"/>
      <x:c r="L46" s="166"/>
      <x:c r="M46" s="166"/>
      <x:c r="N46" s="166"/>
      <x:c r="O46" s="166"/>
      <x:c r="P46" s="166"/>
      <x:c r="Q46" s="167"/>
    </x:row>
    <x:row r="47">
      <x:c r="B47" s="18" t="str">
        <x:v>출처 판정</x:v>
      </x:c>
      <x:c r="C47" s="19" t="str">
        <x:v>근거 표시</x:v>
      </x:c>
      <x:c r="D47" s="161" t="n">
        <x:f>'_Chart Helpers'!B4</x:f>
        <x:v>1</x:v>
      </x:c>
      <x:c r="E47" s="161" t="n">
        <x:f>'_Chart Helpers'!C4</x:f>
        <x:v>1</x:v>
      </x:c>
      <x:c r="F47" s="161" t="n">
        <x:f t="shared" si="0">D47-E47</x:f>
        <x:v>0</x:v>
      </x:c>
      <x:c r="G47" s="161" t="n">
        <x:f t="shared" si="1">IFERROR(D47/E47,0)</x:f>
        <x:v>1</x:v>
      </x:c>
      <x:c r="H47" s="19" t="str">
        <x:f>IF(D47&gt;=E47,"완료","진행")</x:f>
        <x:v>완료</x:v>
      </x:c>
      <x:c r="I47" s="12"/>
      <x:c r="J47" s="165"/>
      <x:c r="K47" s="166"/>
      <x:c r="L47" s="166"/>
      <x:c r="M47" s="166"/>
      <x:c r="N47" s="166"/>
      <x:c r="O47" s="166"/>
      <x:c r="P47" s="166"/>
      <x:c r="Q47" s="167"/>
    </x:row>
    <x:row r="48">
      <x:c r="B48" s="18" t="str">
        <x:v>원문 수동 감리</x:v>
      </x:c>
      <x:c r="C48" s="19" t="str">
        <x:v>검증 표본</x:v>
      </x:c>
      <x:c r="D48" s="160" t="n">
        <x:f>'_Chart Helpers'!B5</x:f>
        <x:v>30</x:v>
      </x:c>
      <x:c r="E48" s="160" t="n">
        <x:f>'_Chart Helpers'!C5</x:f>
        <x:v>50</x:v>
      </x:c>
      <x:c r="F48" s="160" t="n">
        <x:f t="shared" si="0">D48-E48</x:f>
        <x:v>-20</x:v>
      </x:c>
      <x:c r="G48" s="161" t="n">
        <x:f t="shared" si="1">IFERROR(D48/E48,0)</x:f>
        <x:v>0.6</x:v>
      </x:c>
      <x:c r="H48" s="19" t="str">
        <x:f>IF(D48&gt;=E48,"완료","진행")</x:f>
        <x:v>진행</x:v>
      </x:c>
      <x:c r="I48" s="12"/>
      <x:c r="J48" s="168"/>
      <x:c r="K48" s="169"/>
      <x:c r="L48" s="169"/>
      <x:c r="M48" s="169"/>
      <x:c r="N48" s="169"/>
      <x:c r="O48" s="169"/>
      <x:c r="P48" s="169"/>
      <x:c r="Q48" s="170"/>
    </x:row>
    <x:row r="49">
      <x:c r="B49" s="18" t="str">
        <x:v>수집 연도</x:v>
      </x:c>
      <x:c r="C49" s="19" t="str">
        <x:v>정본</x:v>
      </x:c>
      <x:c r="D49" s="160" t="n">
        <x:f>'_Chart Helpers'!B6</x:f>
        <x:v>6</x:v>
      </x:c>
      <x:c r="E49" s="160" t="n">
        <x:f>'_Chart Helpers'!C6</x:f>
        <x:v>6</x:v>
      </x:c>
      <x:c r="F49" s="160" t="n">
        <x:f t="shared" si="0">D49-E49</x:f>
        <x:v>0</x:v>
      </x:c>
      <x:c r="G49" s="161" t="n">
        <x:f t="shared" si="1">IFERROR(D49/E49,0)</x:f>
        <x:v>1</x:v>
      </x:c>
      <x:c r="H49" s="19" t="str">
        <x:f>IF(D49&gt;=E49,"완료","진행")</x:f>
        <x:v>완료</x:v>
      </x:c>
      <x:c r="I49" s="12"/>
      <x:c r="J49" s="12"/>
      <x:c r="K49" s="12"/>
      <x:c r="L49" s="12"/>
      <x:c r="M49" s="12"/>
      <x:c r="N49" s="12"/>
      <x:c r="O49" s="12"/>
      <x:c r="P49" s="12"/>
      <x:c r="Q49" s="12"/>
    </x:row>
    <x:row r="50">
      <x:c r="B50" s="18" t="str">
        <x:v>편집 후보</x:v>
      </x:c>
      <x:c r="C50" s="19" t="str">
        <x:v>탐색</x:v>
      </x:c>
      <x:c r="D50" s="160" t="n">
        <x:f>'_Chart Helpers'!B7</x:f>
        <x:v>377</x:v>
      </x:c>
      <x:c r="E50" s="160" t="n">
        <x:f>'_Chart Helpers'!C7</x:f>
        <x:v>609</x:v>
      </x:c>
      <x:c r="F50" s="160" t="n">
        <x:f t="shared" si="0">D50-E50</x:f>
        <x:v>-232</x:v>
      </x:c>
      <x:c r="G50" s="161" t="n">
        <x:f t="shared" si="1">IFERROR(D50/E50,0)</x:f>
        <x:v>0.6190476190476191</x:v>
      </x:c>
      <x:c r="H50" s="19" t="str">
        <x:f>IF(D50&gt;=E50,"완료","진행")</x:f>
        <x:v>진행</x:v>
      </x:c>
      <x:c r="I50" s="12"/>
      <x:c r="J50" s="171" t="str">
        <x:v>원문 수동 감리 30편만 편집 지향점에 반영했다. 플랫폼·계약·수익 수치는 역사 자료로 격리했다.</x:v>
      </x:c>
      <x:c r="K50" s="172"/>
      <x:c r="L50" s="172"/>
      <x:c r="M50" s="172"/>
      <x:c r="N50" s="172"/>
      <x:c r="O50" s="172"/>
      <x:c r="P50" s="172"/>
      <x:c r="Q50" s="173"/>
    </x:row>
    <x:row r="51">
      <x:c r="B51" s="18" t="str">
        <x:v>재게시 비중</x:v>
      </x:c>
      <x:c r="C51" s="19" t="str">
        <x:v>맥락</x:v>
      </x:c>
      <x:c r="D51" s="161" t="n">
        <x:f>'_Chart Helpers'!B8</x:f>
        <x:v>0.7553366174055829</x:v>
      </x:c>
      <x:c r="E51" s="161" t="str">
        <x:f>""</x:f>
      </x:c>
      <x:c r="F51" s="161" t="str">
        <x:f t="shared" si="0">""</x:f>
      </x:c>
      <x:c r="G51" s="161" t="str">
        <x:f t="shared" si="1">""</x:f>
      </x:c>
      <x:c r="H51" s="19" t="str">
        <x:f>"맥락"</x:f>
        <x:v>맥락</x:v>
      </x:c>
      <x:c r="I51" s="12"/>
      <x:c r="J51" s="174"/>
      <x:c r="K51" s="175"/>
      <x:c r="L51" s="175"/>
      <x:c r="M51" s="175"/>
      <x:c r="N51" s="175"/>
      <x:c r="O51" s="175"/>
      <x:c r="P51" s="175"/>
      <x:c r="Q51" s="176"/>
    </x:row>
    <x:row r="52">
      <x:c r="B52" s="18" t="str">
        <x:v>통합 원칙</x:v>
      </x:c>
      <x:c r="C52" s="19" t="str">
        <x:v>검증 반영</x:v>
      </x:c>
      <x:c r="D52" s="160" t="n">
        <x:f>'_Chart Helpers'!B9</x:f>
        <x:v>12</x:v>
      </x:c>
      <x:c r="E52" s="160" t="n">
        <x:f>'_Chart Helpers'!C9</x:f>
        <x:v>12</x:v>
      </x:c>
      <x:c r="F52" s="160" t="n">
        <x:f t="shared" si="0">D52-E52</x:f>
        <x:v>0</x:v>
      </x:c>
      <x:c r="G52" s="161" t="n">
        <x:f t="shared" si="1">IFERROR(D52/E52,0)</x:f>
        <x:v>1</x:v>
      </x:c>
      <x:c r="H52" s="19" t="str">
        <x:f>IF(D52&gt;=E52,"완료","진행")</x:f>
        <x:v>완료</x:v>
      </x:c>
      <x:c r="I52" s="12"/>
      <x:c r="J52" s="177"/>
      <x:c r="K52" s="178"/>
      <x:c r="L52" s="178"/>
      <x:c r="M52" s="178"/>
      <x:c r="N52" s="178"/>
      <x:c r="O52" s="178"/>
      <x:c r="P52" s="178"/>
      <x:c r="Q52" s="179"/>
    </x:row>
    <x:row r="53">
      <x:c r="B53" s="12"/>
      <x:c r="C53" s="12"/>
      <x:c r="D53" s="12"/>
      <x:c r="E53" s="12"/>
      <x:c r="F53" s="12"/>
      <x:c r="G53" s="12"/>
      <x:c r="H53" s="12"/>
      <x:c r="I53" s="12"/>
      <x:c r="J53" s="12"/>
      <x:c r="K53" s="12"/>
      <x:c r="L53" s="12"/>
      <x:c r="M53" s="12"/>
      <x:c r="N53" s="12"/>
      <x:c r="O53" s="12"/>
      <x:c r="P53" s="12"/>
      <x:c r="Q53" s="12"/>
    </x:row>
  </x:sheetData>
  <x:mergeCells>
    <x:mergeCell ref="J11:M12"/>
    <x:mergeCell ref="N5:Q5"/>
    <x:mergeCell ref="N6:Q7"/>
    <x:mergeCell ref="B43:Q43"/>
    <x:mergeCell ref="J45:Q48"/>
    <x:mergeCell ref="J50:Q52"/>
    <x:mergeCell ref="N10:Q10"/>
    <x:mergeCell ref="N11:Q12"/>
    <x:mergeCell ref="B15:I15"/>
    <x:mergeCell ref="J15:Q15"/>
    <x:mergeCell ref="B29:I29"/>
    <x:mergeCell ref="J29:Q29"/>
    <x:mergeCell ref="B10:E10"/>
    <x:mergeCell ref="B11:E12"/>
    <x:mergeCell ref="F10:I10"/>
    <x:mergeCell ref="F11:I12"/>
    <x:mergeCell ref="J10:M10"/>
    <x:mergeCell ref="B5:E5"/>
    <x:mergeCell ref="B6:E7"/>
    <x:mergeCell ref="F5:I5"/>
    <x:mergeCell ref="F6:I7"/>
    <x:mergeCell ref="J5:M5"/>
    <x:mergeCell ref="J6:M7"/>
    <x:mergeCell ref="J2:M2"/>
    <x:mergeCell ref="J3:M3"/>
    <x:mergeCell ref="N2:Q2"/>
    <x:mergeCell ref="N3:Q3"/>
    <x:mergeCell ref="B4:Q4"/>
  </x:mergeCells>
  <x:conditionalFormatting sqref="H45:H52">
    <x:cfRule type="containsText" dxfId="3" priority="1" operator="containsText" text="완료"/>
    <x:cfRule type="containsText" dxfId="4" priority="2" operator="containsText" text="진행"/>
    <x:cfRule type="containsText" dxfId="5" priority="3" operator="containsText" text="맥락"/>
  </x:conditionalFormatting>
  <x:pageMargins left="0.7" right="0.7" top="0.75" bottom="0.75" header="0.3" footer="0.3"/>
  <x:drawing xmlns:r="http://schemas.openxmlformats.org/officeDocument/2006/relationships" r:id="R5d54a158b0f94eb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baseColWidth="10" defaultColWidth="8.83203125" defaultRowHeight="14"/>
  <x:cols>
    <x:col min="1" max="1" width="3.33203125" style="27" customWidth="1"/>
    <x:col min="2" max="4" width="15" style="27" customWidth="1"/>
    <x:col min="5" max="5" width="17" style="27" customWidth="1"/>
    <x:col min="6" max="6" width="18" style="27" customWidth="1"/>
    <x:col min="7" max="8" width="15" style="27" customWidth="1"/>
    <x:col min="9" max="9" width="14" style="27" customWidth="1"/>
    <x:col min="10" max="10" width="16" style="27" customWidth="1"/>
    <x:col min="11" max="11" width="15" style="27" customWidth="1"/>
    <x:col min="12" max="15" width="16" style="27" customWidth="1"/>
    <x:col min="16" max="16" width="15" style="27" customWidth="1"/>
    <x:col min="17" max="16384" width="8.83203125" style="27" customWidth="0"/>
  </x:cols>
  <x:sheetData>
    <x:row r="2" ht="26" customHeight="1">
      <x:c r="B2" s="36" t="str">
        <x:v>정룡필 웹소설 아카이브 대시보드</x:v>
      </x:c>
      <x:c r="C2" s="36"/>
      <x:c r="D2" s="36"/>
      <x:c r="E2" s="36"/>
      <x:c r="F2" s="36"/>
      <x:c r="G2" s="36"/>
      <x:c r="H2" s="36"/>
      <x:c r="I2" s="36"/>
      <x:c r="J2" s="36"/>
      <x:c r="K2" s="36"/>
      <x:c r="L2" s="36"/>
      <x:c r="M2" s="36"/>
      <x:c r="N2" s="36"/>
      <x:c r="O2" s="36"/>
      <x:c r="P2" s="36"/>
    </x:row>
    <x:row r="3" ht="26" customHeight="1">
      <x:c r="B3" s="38" t="str">
        <x:v>집계 및 근거</x:v>
      </x:c>
      <x:c r="C3" s="37"/>
      <x:c r="D3" s="37"/>
      <x:c r="E3" s="37"/>
      <x:c r="F3" s="37"/>
      <x:c r="G3" s="37"/>
      <x:c r="H3" s="37"/>
      <x:c r="I3" s="37"/>
      <x:c r="J3" s="37"/>
      <x:c r="K3" s="37"/>
      <x:c r="L3" s="37"/>
      <x:c r="M3" s="37"/>
      <x:c r="N3" s="37"/>
      <x:c r="O3" s="37"/>
      <x:c r="P3" s="37"/>
    </x:row>
    <x:row r="4">
      <x:c r="B4" s="28"/>
      <x:c r="C4" s="28"/>
      <x:c r="D4" s="28"/>
      <x:c r="E4" s="28"/>
      <x:c r="F4" s="28"/>
      <x:c r="G4" s="28"/>
      <x:c r="H4" s="28"/>
      <x:c r="I4" s="28"/>
      <x:c r="J4" s="28"/>
      <x:c r="K4" s="28"/>
      <x:c r="L4" s="28"/>
      <x:c r="M4" s="28"/>
      <x:c r="N4" s="28"/>
      <x:c r="O4" s="28"/>
      <x:c r="P4" s="28"/>
    </x:row>
    <x:row r="5" ht="22" customHeight="1">
      <x:c r="B5" s="87" t="str">
        <x:v>사용 방법</x:v>
      </x:c>
      <x:c r="C5" s="87" t="s">
        <x:v>9</x:v>
      </x:c>
      <x:c r="D5" s="87" t="s">
        <x:v>9</x:v>
      </x:c>
      <x:c r="E5" s="87" t="s">
        <x:v>9</x:v>
      </x:c>
      <x:c r="F5" s="87" t="s">
        <x:v>9</x:v>
      </x:c>
      <x:c r="G5" s="87" t="s">
        <x:v>9</x:v>
      </x:c>
      <x:c r="H5" s="87" t="s">
        <x:v>9</x:v>
      </x:c>
      <x:c r="I5" s="87" t="s">
        <x:v>9</x:v>
      </x:c>
      <x:c r="J5" s="87" t="s">
        <x:v>9</x:v>
      </x:c>
      <x:c r="K5" s="87" t="s">
        <x:v>9</x:v>
      </x:c>
      <x:c r="L5" s="87" t="s">
        <x:v>9</x:v>
      </x:c>
      <x:c r="M5" s="87" t="s">
        <x:v>9</x:v>
      </x:c>
      <x:c r="N5" s="87" t="s">
        <x:v>9</x:v>
      </x:c>
      <x:c r="O5" s="87" t="s">
        <x:v>9</x:v>
      </x:c>
      <x:c r="P5" s="87" t="s">
        <x:v>9</x:v>
      </x:c>
    </x:row>
    <x:row r="6" ht="22" customHeight="1">
      <x:c r="B6" s="88" t="str">
        <x:v>Post Archive가 공개 목록 1,050편의 정본이다. 주제 분류는 탐색용 자동 분류이며, 편집 반영은 Evidence Review의 원문 감리 30편만 사용한다.</x:v>
      </x:c>
      <x:c r="C6" s="88" t="s">
        <x:v>10</x:v>
      </x:c>
      <x:c r="D6" s="88" t="s">
        <x:v>10</x:v>
      </x:c>
      <x:c r="E6" s="88" t="s">
        <x:v>10</x:v>
      </x:c>
      <x:c r="F6" s="88" t="s">
        <x:v>10</x:v>
      </x:c>
      <x:c r="G6" s="88" t="s">
        <x:v>10</x:v>
      </x:c>
      <x:c r="H6" s="88" t="s">
        <x:v>10</x:v>
      </x:c>
      <x:c r="I6" s="88" t="s">
        <x:v>10</x:v>
      </x:c>
      <x:c r="J6" s="88" t="s">
        <x:v>10</x:v>
      </x:c>
      <x:c r="K6" s="88" t="s">
        <x:v>10</x:v>
      </x:c>
      <x:c r="L6" s="88" t="s">
        <x:v>10</x:v>
      </x:c>
      <x:c r="M6" s="88" t="s">
        <x:v>10</x:v>
      </x:c>
      <x:c r="N6" s="88" t="s">
        <x:v>10</x:v>
      </x:c>
      <x:c r="O6" s="88" t="s">
        <x:v>10</x:v>
      </x:c>
      <x:c r="P6" s="88" t="s">
        <x:v>10</x:v>
      </x:c>
    </x:row>
    <x:row r="7" ht="22" customHeight="1">
      <x:c r="B7" s="88" t="str">
        <x:v>플랫폼·계약·수익 수치는 2018~2023년 역사 자료다. 현재 기준으로 사용하지 않는다.</x:v>
      </x:c>
      <x:c r="C7" s="88" t="s">
        <x:v>11</x:v>
      </x:c>
      <x:c r="D7" s="88" t="s">
        <x:v>11</x:v>
      </x:c>
      <x:c r="E7" s="88" t="s">
        <x:v>11</x:v>
      </x:c>
      <x:c r="F7" s="88" t="s">
        <x:v>11</x:v>
      </x:c>
      <x:c r="G7" s="88" t="s">
        <x:v>11</x:v>
      </x:c>
      <x:c r="H7" s="88" t="s">
        <x:v>11</x:v>
      </x:c>
      <x:c r="I7" s="88" t="s">
        <x:v>11</x:v>
      </x:c>
      <x:c r="J7" s="88" t="s">
        <x:v>11</x:v>
      </x:c>
      <x:c r="K7" s="88" t="s">
        <x:v>11</x:v>
      </x:c>
      <x:c r="L7" s="88" t="s">
        <x:v>11</x:v>
      </x:c>
      <x:c r="M7" s="88" t="s">
        <x:v>11</x:v>
      </x:c>
      <x:c r="N7" s="88" t="s">
        <x:v>11</x:v>
      </x:c>
      <x:c r="O7" s="88" t="s">
        <x:v>11</x:v>
      </x:c>
      <x:c r="P7" s="88" t="s">
        <x:v>11</x:v>
      </x:c>
    </x:row>
    <x:row r="8">
      <x:c r="B8" s="28"/>
      <x:c r="C8" s="28"/>
      <x:c r="D8" s="28"/>
      <x:c r="E8" s="28"/>
      <x:c r="F8" s="28"/>
      <x:c r="G8" s="28"/>
      <x:c r="H8" s="28"/>
      <x:c r="I8" s="28"/>
      <x:c r="J8" s="28"/>
      <x:c r="K8" s="28"/>
      <x:c r="L8" s="28"/>
      <x:c r="M8" s="28"/>
      <x:c r="N8" s="28"/>
      <x:c r="O8" s="28"/>
      <x:c r="P8" s="28"/>
    </x:row>
    <x:row r="9">
      <x:c r="B9" s="1" t="str">
        <x:v>수집 범위</x:v>
      </x:c>
      <x:c r="C9" s="29" t="str">
        <x:v>2018-01-09 — 2023-04-16</x:v>
      </x:c>
      <x:c r="D9" s="28"/>
      <x:c r="E9" s="28"/>
      <x:c r="F9" s="28"/>
      <x:c r="G9" s="28"/>
      <x:c r="H9" s="28"/>
      <x:c r="I9" s="28"/>
      <x:c r="J9" s="28"/>
      <x:c r="K9" s="28"/>
      <x:c r="L9" s="28"/>
      <x:c r="M9" s="28"/>
      <x:c r="N9" s="28"/>
      <x:c r="O9" s="28"/>
      <x:c r="P9" s="28"/>
    </x:row>
    <x:row r="10" ht="26">
      <x:c r="B10" s="1" t="str">
        <x:v>데이터 확인일</x:v>
      </x:c>
      <x:c r="C10" s="129" t="n">
        <x:v>46250</x:v>
      </x:c>
      <x:c r="D10" s="28"/>
      <x:c r="E10" s="28"/>
      <x:c r="F10" s="28"/>
      <x:c r="G10" s="28"/>
      <x:c r="H10" s="28"/>
      <x:c r="I10" s="28"/>
      <x:c r="J10" s="28"/>
      <x:c r="K10" s="28"/>
      <x:c r="L10" s="28"/>
      <x:c r="M10" s="28"/>
      <x:c r="N10" s="28"/>
      <x:c r="O10" s="28"/>
      <x:c r="P10" s="28"/>
    </x:row>
    <x:row r="11">
      <x:c r="B11" s="1" t="str">
        <x:v>출처</x:v>
      </x:c>
      <x:c r="C11" s="84" t="str">
        <x:v>https://m.blog.naver.com/PostList.naver?blogId=sntu2010&amp;tab=1 · 공개 목록 및 공개 본문</x:v>
      </x:c>
      <x:c r="D11" s="84" t="s">
        <x:v>12</x:v>
      </x:c>
      <x:c r="E11" s="84" t="s">
        <x:v>12</x:v>
      </x:c>
      <x:c r="F11" s="84" t="s">
        <x:v>12</x:v>
      </x:c>
      <x:c r="G11" s="84" t="s">
        <x:v>12</x:v>
      </x:c>
      <x:c r="H11" s="84" t="s">
        <x:v>12</x:v>
      </x:c>
      <x:c r="I11" s="84" t="s">
        <x:v>12</x:v>
      </x:c>
      <x:c r="J11" s="84" t="s">
        <x:v>12</x:v>
      </x:c>
      <x:c r="K11" s="84" t="s">
        <x:v>12</x:v>
      </x:c>
      <x:c r="L11" s="84" t="s">
        <x:v>12</x:v>
      </x:c>
      <x:c r="M11" s="84" t="s">
        <x:v>12</x:v>
      </x:c>
      <x:c r="N11" s="84" t="s">
        <x:v>12</x:v>
      </x:c>
      <x:c r="O11" s="84" t="s">
        <x:v>12</x:v>
      </x:c>
      <x:c r="P11" s="84" t="s">
        <x:v>12</x:v>
      </x:c>
    </x:row>
    <x:row r="12">
      <x:c r="B12" s="28"/>
      <x:c r="C12" s="28"/>
      <x:c r="D12" s="28"/>
      <x:c r="E12" s="28"/>
      <x:c r="F12" s="28"/>
      <x:c r="G12" s="28"/>
      <x:c r="H12" s="28"/>
      <x:c r="I12" s="28"/>
      <x:c r="J12" s="28"/>
      <x:c r="K12" s="28"/>
      <x:c r="L12" s="28"/>
      <x:c r="M12" s="28"/>
      <x:c r="N12" s="28"/>
      <x:c r="O12" s="28"/>
      <x:c r="P12" s="28"/>
    </x:row>
    <x:row r="13" ht="22" customHeight="1">
      <x:c r="B13" s="85" t="str">
        <x:v>연도별 아카이브 현황 — Post Archive에서 자동 집계</x:v>
      </x:c>
      <x:c r="C13" s="85" t="s">
        <x:v>13</x:v>
      </x:c>
      <x:c r="D13" s="85" t="s">
        <x:v>13</x:v>
      </x:c>
      <x:c r="E13" s="85" t="s">
        <x:v>13</x:v>
      </x:c>
      <x:c r="F13" s="85" t="s">
        <x:v>13</x:v>
      </x:c>
      <x:c r="G13" s="85" t="s">
        <x:v>13</x:v>
      </x:c>
      <x:c r="H13" s="85" t="s">
        <x:v>13</x:v>
      </x:c>
      <x:c r="I13" s="85" t="s">
        <x:v>13</x:v>
      </x:c>
      <x:c r="J13" s="85" t="s">
        <x:v>13</x:v>
      </x:c>
      <x:c r="K13" s="85" t="s">
        <x:v>13</x:v>
      </x:c>
      <x:c r="L13" s="85" t="s">
        <x:v>13</x:v>
      </x:c>
      <x:c r="M13" s="85" t="s">
        <x:v>13</x:v>
      </x:c>
      <x:c r="N13" s="85" t="s">
        <x:v>13</x:v>
      </x:c>
      <x:c r="O13" s="85" t="s">
        <x:v>13</x:v>
      </x:c>
      <x:c r="P13" s="85" t="s">
        <x:v>13</x:v>
      </x:c>
    </x:row>
    <x:row r="14">
      <x:c r="B14" s="28"/>
      <x:c r="C14" s="28"/>
      <x:c r="D14" s="28"/>
      <x:c r="E14" s="28"/>
      <x:c r="F14" s="28"/>
      <x:c r="G14" s="28"/>
      <x:c r="H14" s="28"/>
      <x:c r="I14" s="28"/>
      <x:c r="J14" s="28"/>
      <x:c r="K14" s="28"/>
      <x:c r="L14" s="28"/>
      <x:c r="M14" s="28"/>
      <x:c r="N14" s="28"/>
      <x:c r="O14" s="28"/>
      <x:c r="P14" s="28"/>
    </x:row>
    <x:row r="15" ht="34" customHeight="1">
      <x:c r="B15" s="2" t="str">
        <x:v>연도</x:v>
      </x:c>
      <x:c r="C15" s="2" t="str">
        <x:v>전체 글</x:v>
      </x:c>
      <x:c r="D15" s="2" t="str">
        <x:v>웹소설 직접</x:v>
      </x:c>
      <x:c r="E15" s="2" t="str">
        <x:v>재게시</x:v>
      </x:c>
      <x:c r="F15" s="2" t="str">
        <x:v>본인 작성/의견</x:v>
      </x:c>
      <x:c r="G15" s="2" t="str">
        <x:v>본인 경험담</x:v>
      </x:c>
      <x:c r="H15" s="2" t="str">
        <x:v>외부자료</x:v>
      </x:c>
      <x:c r="I15" s="2" t="str">
        <x:v>주제 분류 완료</x:v>
      </x:c>
      <x:c r="J15" s="2" t="str">
        <x:v>편집 후보</x:v>
      </x:c>
      <x:c r="K15" s="2" t="str">
        <x:v>원문 감리</x:v>
      </x:c>
      <x:c r="L15" s="2" t="str">
        <x:v>웹툰 참고</x:v>
      </x:c>
      <x:c r="M15" s="2" t="str">
        <x:v>공통 창작소재</x:v>
      </x:c>
      <x:c r="N15" s="2" t="str">
        <x:v>웹소설 비중</x:v>
      </x:c>
      <x:c r="O15" s="2" t="str">
        <x:v>재게시 비중</x:v>
      </x:c>
      <x:c r="P15" s="2" t="str">
        <x:v>원문 감리율</x:v>
      </x:c>
    </x:row>
    <x:row r="16">
      <x:c r="B16" s="130" t="n">
        <x:v>2018</x:v>
      </x:c>
      <x:c r="C16" s="131" t="n">
        <x:f>COUNTIF('Post Archive'!$C$2:$C$1051,B16)</x:f>
        <x:v>368</x:v>
      </x:c>
      <x:c r="D16" s="131" t="n">
        <x:f>COUNTIFS('Post Archive'!$C$2:$C$1051,B16,'Post Archive'!$G$2:$G$1051,"웹소설 직접")</x:f>
        <x:v>143</x:v>
      </x:c>
      <x:c r="E16" s="131" t="n">
        <x:f>COUNTIFS('Post Archive'!$C$2:$C$1051,B16,'Post Archive'!$G$2:$G$1051,"웹소설 직접",'Post Archive'!$K$2:$K$1051,"재게시")</x:f>
        <x:v>117</x:v>
      </x:c>
      <x:c r="F16" s="131" t="n">
        <x:f>COUNTIFS('Post Archive'!$C$2:$C$1051,B16,'Post Archive'!$G$2:$G$1051,"웹소설 직접",'Post Archive'!$K$2:$K$1051,"본인 작성/의견 추정")</x:f>
        <x:v>13</x:v>
      </x:c>
      <x:c r="G16" s="131" t="n">
        <x:f>COUNTIFS('Post Archive'!$C$2:$C$1051,B16,'Post Archive'!$G$2:$G$1051,"웹소설 직접",'Post Archive'!$K$2:$K$1051,"본인 경험담 추정")</x:f>
        <x:v>5</x:v>
      </x:c>
      <x:c r="H16" s="131" t="n">
        <x:f>COUNTIFS('Post Archive'!$C$2:$C$1051,B16,'Post Archive'!$G$2:$G$1051,"웹소설 직접",'Post Archive'!$K$2:$K$1051,"외부자료 소개/재가공")</x:f>
        <x:v>8</x:v>
      </x:c>
      <x:c r="I16" s="131" t="n">
        <x:f>COUNTIFS('Post Archive'!$C$2:$C$1051,B16,'Post Archive'!$G$2:$G$1051,"웹소설 직접",'Post Archive'!$H$2:$H$1051,"&lt;&gt;기타/검토")</x:f>
        <x:v>143</x:v>
      </x:c>
      <x:c r="J16" s="131" t="n">
        <x:f>COUNTIFS('Post Archive'!$C$2:$C$1051,B16,'Post Archive'!$G$2:$G$1051,"웹소설 직접",'Post Archive'!$P$2:$P$1051,"예")</x:f>
        <x:v>91</x:v>
      </x:c>
      <x:c r="K16" s="131" t="n">
        <x:f>COUNTIF('Evidence Review'!$B$2:$B$31,B16)</x:f>
        <x:v>4</x:v>
      </x:c>
      <x:c r="L16" s="131" t="n">
        <x:f>COUNTIFS('Post Archive'!$C$2:$C$1051,B16,'Post Archive'!$G$2:$G$1051,"웹툰 참고")</x:f>
        <x:v>121</x:v>
      </x:c>
      <x:c r="M16" s="131" t="n">
        <x:f>COUNTIFS('Post Archive'!$C$2:$C$1051,B16,'Post Archive'!$G$2:$G$1051,"공통 창작소재")</x:f>
        <x:v>104</x:v>
      </x:c>
      <x:c r="N16" s="132" t="n">
        <x:f>IFERROR(D16/C16,0)</x:f>
        <x:v>0.38858695652173914</x:v>
      </x:c>
      <x:c r="O16" s="132" t="n">
        <x:f>IFERROR(E16/D16,0)</x:f>
        <x:v>0.8181818181818182</x:v>
      </x:c>
      <x:c r="P16" s="132" t="n">
        <x:f>IFERROR(K16/D16,0)</x:f>
        <x:v>0.027972027972027972</x:v>
      </x:c>
    </x:row>
    <x:row r="17">
      <x:c r="B17" s="130" t="n">
        <x:v>2019</x:v>
      </x:c>
      <x:c r="C17" s="131" t="n">
        <x:f>COUNTIF('Post Archive'!$C$2:$C$1051,B17)</x:f>
        <x:v>235</x:v>
      </x:c>
      <x:c r="D17" s="131" t="n">
        <x:f>COUNTIFS('Post Archive'!$C$2:$C$1051,B17,'Post Archive'!$G$2:$G$1051,"웹소설 직접")</x:f>
        <x:v>201</x:v>
      </x:c>
      <x:c r="E17" s="131" t="n">
        <x:f>COUNTIFS('Post Archive'!$C$2:$C$1051,B17,'Post Archive'!$G$2:$G$1051,"웹소설 직접",'Post Archive'!$K$2:$K$1051,"재게시")</x:f>
        <x:v>150</x:v>
      </x:c>
      <x:c r="F17" s="131" t="n">
        <x:f>COUNTIFS('Post Archive'!$C$2:$C$1051,B17,'Post Archive'!$G$2:$G$1051,"웹소설 직접",'Post Archive'!$K$2:$K$1051,"본인 작성/의견 추정")</x:f>
        <x:v>40</x:v>
      </x:c>
      <x:c r="G17" s="131" t="n">
        <x:f>COUNTIFS('Post Archive'!$C$2:$C$1051,B17,'Post Archive'!$G$2:$G$1051,"웹소설 직접",'Post Archive'!$K$2:$K$1051,"본인 경험담 추정")</x:f>
        <x:v>9</x:v>
      </x:c>
      <x:c r="H17" s="131" t="n">
        <x:f>COUNTIFS('Post Archive'!$C$2:$C$1051,B17,'Post Archive'!$G$2:$G$1051,"웹소설 직접",'Post Archive'!$K$2:$K$1051,"외부자료 소개/재가공")</x:f>
        <x:v>2</x:v>
      </x:c>
      <x:c r="I17" s="131" t="n">
        <x:f>COUNTIFS('Post Archive'!$C$2:$C$1051,B17,'Post Archive'!$G$2:$G$1051,"웹소설 직접",'Post Archive'!$H$2:$H$1051,"&lt;&gt;기타/검토")</x:f>
        <x:v>197</x:v>
      </x:c>
      <x:c r="J17" s="131" t="n">
        <x:f>COUNTIFS('Post Archive'!$C$2:$C$1051,B17,'Post Archive'!$G$2:$G$1051,"웹소설 직접",'Post Archive'!$P$2:$P$1051,"예")</x:f>
        <x:v>129</x:v>
      </x:c>
      <x:c r="K17" s="131" t="n">
        <x:f>COUNTIF('Evidence Review'!$B$2:$B$31,B17)</x:f>
        <x:v>4</x:v>
      </x:c>
      <x:c r="L17" s="131" t="n">
        <x:f>COUNTIFS('Post Archive'!$C$2:$C$1051,B17,'Post Archive'!$G$2:$G$1051,"웹툰 참고")</x:f>
        <x:v>31</x:v>
      </x:c>
      <x:c r="M17" s="131" t="n">
        <x:f>COUNTIFS('Post Archive'!$C$2:$C$1051,B17,'Post Archive'!$G$2:$G$1051,"공통 창작소재")</x:f>
        <x:v>3</x:v>
      </x:c>
      <x:c r="N17" s="132" t="n">
        <x:f>IFERROR(D17/C17,0)</x:f>
        <x:v>0.8553191489361702</x:v>
      </x:c>
      <x:c r="O17" s="132" t="n">
        <x:f>IFERROR(E17/D17,0)</x:f>
        <x:v>0.746268656716418</x:v>
      </x:c>
      <x:c r="P17" s="132" t="n">
        <x:f>IFERROR(K17/D17,0)</x:f>
        <x:v>0.01990049751243781</x:v>
      </x:c>
    </x:row>
    <x:row r="18">
      <x:c r="B18" s="130" t="n">
        <x:v>2020</x:v>
      </x:c>
      <x:c r="C18" s="131" t="n">
        <x:f>COUNTIF('Post Archive'!$C$2:$C$1051,B18)</x:f>
        <x:v>281</x:v>
      </x:c>
      <x:c r="D18" s="131" t="n">
        <x:f>COUNTIFS('Post Archive'!$C$2:$C$1051,B18,'Post Archive'!$G$2:$G$1051,"웹소설 직접")</x:f>
        <x:v>136</x:v>
      </x:c>
      <x:c r="E18" s="131" t="n">
        <x:f>COUNTIFS('Post Archive'!$C$2:$C$1051,B18,'Post Archive'!$G$2:$G$1051,"웹소설 직접",'Post Archive'!$K$2:$K$1051,"재게시")</x:f>
        <x:v>99</x:v>
      </x:c>
      <x:c r="F18" s="131" t="n">
        <x:f>COUNTIFS('Post Archive'!$C$2:$C$1051,B18,'Post Archive'!$G$2:$G$1051,"웹소설 직접",'Post Archive'!$K$2:$K$1051,"본인 작성/의견 추정")</x:f>
        <x:v>27</x:v>
      </x:c>
      <x:c r="G18" s="131" t="n">
        <x:f>COUNTIFS('Post Archive'!$C$2:$C$1051,B18,'Post Archive'!$G$2:$G$1051,"웹소설 직접",'Post Archive'!$K$2:$K$1051,"본인 경험담 추정")</x:f>
        <x:v>6</x:v>
      </x:c>
      <x:c r="H18" s="131" t="n">
        <x:f>COUNTIFS('Post Archive'!$C$2:$C$1051,B18,'Post Archive'!$G$2:$G$1051,"웹소설 직접",'Post Archive'!$K$2:$K$1051,"외부자료 소개/재가공")</x:f>
        <x:v>4</x:v>
      </x:c>
      <x:c r="I18" s="131" t="n">
        <x:f>COUNTIFS('Post Archive'!$C$2:$C$1051,B18,'Post Archive'!$G$2:$G$1051,"웹소설 직접",'Post Archive'!$H$2:$H$1051,"&lt;&gt;기타/검토")</x:f>
        <x:v>133</x:v>
      </x:c>
      <x:c r="J18" s="131" t="n">
        <x:f>COUNTIFS('Post Archive'!$C$2:$C$1051,B18,'Post Archive'!$G$2:$G$1051,"웹소설 직접",'Post Archive'!$P$2:$P$1051,"예")</x:f>
        <x:v>77</x:v>
      </x:c>
      <x:c r="K18" s="131" t="n">
        <x:f>COUNTIF('Evidence Review'!$B$2:$B$31,B18)</x:f>
        <x:v>2</x:v>
      </x:c>
      <x:c r="L18" s="131" t="n">
        <x:f>COUNTIFS('Post Archive'!$C$2:$C$1051,B18,'Post Archive'!$G$2:$G$1051,"웹툰 참고")</x:f>
        <x:v>136</x:v>
      </x:c>
      <x:c r="M18" s="131" t="n">
        <x:f>COUNTIFS('Post Archive'!$C$2:$C$1051,B18,'Post Archive'!$G$2:$G$1051,"공통 창작소재")</x:f>
        <x:v>9</x:v>
      </x:c>
      <x:c r="N18" s="132" t="n">
        <x:f>IFERROR(D18/C18,0)</x:f>
        <x:v>0.48398576512455516</x:v>
      </x:c>
      <x:c r="O18" s="132" t="n">
        <x:f>IFERROR(E18/D18,0)</x:f>
        <x:v>0.7279411764705882</x:v>
      </x:c>
      <x:c r="P18" s="132" t="n">
        <x:f>IFERROR(K18/D18,0)</x:f>
        <x:v>0.014705882352941176</x:v>
      </x:c>
    </x:row>
    <x:row r="19">
      <x:c r="B19" s="130" t="n">
        <x:v>2021</x:v>
      </x:c>
      <x:c r="C19" s="131" t="n">
        <x:f>COUNTIF('Post Archive'!$C$2:$C$1051,B19)</x:f>
        <x:v>82</x:v>
      </x:c>
      <x:c r="D19" s="131" t="n">
        <x:f>COUNTIFS('Post Archive'!$C$2:$C$1051,B19,'Post Archive'!$G$2:$G$1051,"웹소설 직접")</x:f>
        <x:v>65</x:v>
      </x:c>
      <x:c r="E19" s="131" t="n">
        <x:f>COUNTIFS('Post Archive'!$C$2:$C$1051,B19,'Post Archive'!$G$2:$G$1051,"웹소설 직접",'Post Archive'!$K$2:$K$1051,"재게시")</x:f>
        <x:v>41</x:v>
      </x:c>
      <x:c r="F19" s="131" t="n">
        <x:f>COUNTIFS('Post Archive'!$C$2:$C$1051,B19,'Post Archive'!$G$2:$G$1051,"웹소설 직접",'Post Archive'!$K$2:$K$1051,"본인 작성/의견 추정")</x:f>
        <x:v>14</x:v>
      </x:c>
      <x:c r="G19" s="131" t="n">
        <x:f>COUNTIFS('Post Archive'!$C$2:$C$1051,B19,'Post Archive'!$G$2:$G$1051,"웹소설 직접",'Post Archive'!$K$2:$K$1051,"본인 경험담 추정")</x:f>
        <x:v>9</x:v>
      </x:c>
      <x:c r="H19" s="131" t="n">
        <x:f>COUNTIFS('Post Archive'!$C$2:$C$1051,B19,'Post Archive'!$G$2:$G$1051,"웹소설 직접",'Post Archive'!$K$2:$K$1051,"외부자료 소개/재가공")</x:f>
        <x:v>1</x:v>
      </x:c>
      <x:c r="I19" s="131" t="n">
        <x:f>COUNTIFS('Post Archive'!$C$2:$C$1051,B19,'Post Archive'!$G$2:$G$1051,"웹소설 직접",'Post Archive'!$H$2:$H$1051,"&lt;&gt;기타/검토")</x:f>
        <x:v>60</x:v>
      </x:c>
      <x:c r="J19" s="131" t="n">
        <x:f>COUNTIFS('Post Archive'!$C$2:$C$1051,B19,'Post Archive'!$G$2:$G$1051,"웹소설 직접",'Post Archive'!$P$2:$P$1051,"예")</x:f>
        <x:v>38</x:v>
      </x:c>
      <x:c r="K19" s="131" t="n">
        <x:f>COUNTIF('Evidence Review'!$B$2:$B$31,B19)</x:f>
        <x:v>9</x:v>
      </x:c>
      <x:c r="L19" s="131" t="n">
        <x:f>COUNTIFS('Post Archive'!$C$2:$C$1051,B19,'Post Archive'!$G$2:$G$1051,"웹툰 참고")</x:f>
        <x:v>17</x:v>
      </x:c>
      <x:c r="M19" s="131" t="n">
        <x:f>COUNTIFS('Post Archive'!$C$2:$C$1051,B19,'Post Archive'!$G$2:$G$1051,"공통 창작소재")</x:f>
        <x:v>0</x:v>
      </x:c>
      <x:c r="N19" s="132" t="n">
        <x:f>IFERROR(D19/C19,0)</x:f>
        <x:v>0.7926829268292683</x:v>
      </x:c>
      <x:c r="O19" s="132" t="n">
        <x:f>IFERROR(E19/D19,0)</x:f>
        <x:v>0.6307692307692307</x:v>
      </x:c>
      <x:c r="P19" s="132" t="n">
        <x:f>IFERROR(K19/D19,0)</x:f>
        <x:v>0.13846153846153847</x:v>
      </x:c>
    </x:row>
    <x:row r="20">
      <x:c r="B20" s="130" t="n">
        <x:v>2022</x:v>
      </x:c>
      <x:c r="C20" s="131" t="n">
        <x:f>COUNTIF('Post Archive'!$C$2:$C$1051,B20)</x:f>
        <x:v>70</x:v>
      </x:c>
      <x:c r="D20" s="131" t="n">
        <x:f>COUNTIFS('Post Archive'!$C$2:$C$1051,B20,'Post Archive'!$G$2:$G$1051,"웹소설 직접")</x:f>
        <x:v>50</x:v>
      </x:c>
      <x:c r="E20" s="131" t="n">
        <x:f>COUNTIFS('Post Archive'!$C$2:$C$1051,B20,'Post Archive'!$G$2:$G$1051,"웹소설 직접",'Post Archive'!$K$2:$K$1051,"재게시")</x:f>
        <x:v>41</x:v>
      </x:c>
      <x:c r="F20" s="131" t="n">
        <x:f>COUNTIFS('Post Archive'!$C$2:$C$1051,B20,'Post Archive'!$G$2:$G$1051,"웹소설 직접",'Post Archive'!$K$2:$K$1051,"본인 작성/의견 추정")</x:f>
        <x:v>6</x:v>
      </x:c>
      <x:c r="G20" s="131" t="n">
        <x:f>COUNTIFS('Post Archive'!$C$2:$C$1051,B20,'Post Archive'!$G$2:$G$1051,"웹소설 직접",'Post Archive'!$K$2:$K$1051,"본인 경험담 추정")</x:f>
        <x:v>3</x:v>
      </x:c>
      <x:c r="H20" s="131" t="n">
        <x:f>COUNTIFS('Post Archive'!$C$2:$C$1051,B20,'Post Archive'!$G$2:$G$1051,"웹소설 직접",'Post Archive'!$K$2:$K$1051,"외부자료 소개/재가공")</x:f>
        <x:v>0</x:v>
      </x:c>
      <x:c r="I20" s="131" t="n">
        <x:f>COUNTIFS('Post Archive'!$C$2:$C$1051,B20,'Post Archive'!$G$2:$G$1051,"웹소설 직접",'Post Archive'!$H$2:$H$1051,"&lt;&gt;기타/검토")</x:f>
        <x:v>49</x:v>
      </x:c>
      <x:c r="J20" s="131" t="n">
        <x:f>COUNTIFS('Post Archive'!$C$2:$C$1051,B20,'Post Archive'!$G$2:$G$1051,"웹소설 직접",'Post Archive'!$P$2:$P$1051,"예")</x:f>
        <x:v>33</x:v>
      </x:c>
      <x:c r="K20" s="131" t="n">
        <x:f>COUNTIF('Evidence Review'!$B$2:$B$31,B20)</x:f>
        <x:v>8</x:v>
      </x:c>
      <x:c r="L20" s="131" t="n">
        <x:f>COUNTIFS('Post Archive'!$C$2:$C$1051,B20,'Post Archive'!$G$2:$G$1051,"웹툰 참고")</x:f>
        <x:v>20</x:v>
      </x:c>
      <x:c r="M20" s="131" t="n">
        <x:f>COUNTIFS('Post Archive'!$C$2:$C$1051,B20,'Post Archive'!$G$2:$G$1051,"공통 창작소재")</x:f>
        <x:v>0</x:v>
      </x:c>
      <x:c r="N20" s="132" t="n">
        <x:f>IFERROR(D20/C20,0)</x:f>
        <x:v>0.7142857142857143</x:v>
      </x:c>
      <x:c r="O20" s="132" t="n">
        <x:f>IFERROR(E20/D20,0)</x:f>
        <x:v>0.82</x:v>
      </x:c>
      <x:c r="P20" s="132" t="n">
        <x:f>IFERROR(K20/D20,0)</x:f>
        <x:v>0.16</x:v>
      </x:c>
    </x:row>
    <x:row r="21">
      <x:c r="B21" s="130" t="n">
        <x:v>2023</x:v>
      </x:c>
      <x:c r="C21" s="131" t="n">
        <x:f>COUNTIF('Post Archive'!$C$2:$C$1051,B21)</x:f>
        <x:v>14</x:v>
      </x:c>
      <x:c r="D21" s="131" t="n">
        <x:f>COUNTIFS('Post Archive'!$C$2:$C$1051,B21,'Post Archive'!$G$2:$G$1051,"웹소설 직접")</x:f>
        <x:v>14</x:v>
      </x:c>
      <x:c r="E21" s="131" t="n">
        <x:f>COUNTIFS('Post Archive'!$C$2:$C$1051,B21,'Post Archive'!$G$2:$G$1051,"웹소설 직접",'Post Archive'!$K$2:$K$1051,"재게시")</x:f>
        <x:v>12</x:v>
      </x:c>
      <x:c r="F21" s="131" t="n">
        <x:f>COUNTIFS('Post Archive'!$C$2:$C$1051,B21,'Post Archive'!$G$2:$G$1051,"웹소설 직접",'Post Archive'!$K$2:$K$1051,"본인 작성/의견 추정")</x:f>
        <x:v>2</x:v>
      </x:c>
      <x:c r="G21" s="131" t="n">
        <x:f>COUNTIFS('Post Archive'!$C$2:$C$1051,B21,'Post Archive'!$G$2:$G$1051,"웹소설 직접",'Post Archive'!$K$2:$K$1051,"본인 경험담 추정")</x:f>
        <x:v>0</x:v>
      </x:c>
      <x:c r="H21" s="131" t="n">
        <x:f>COUNTIFS('Post Archive'!$C$2:$C$1051,B21,'Post Archive'!$G$2:$G$1051,"웹소설 직접",'Post Archive'!$K$2:$K$1051,"외부자료 소개/재가공")</x:f>
        <x:v>0</x:v>
      </x:c>
      <x:c r="I21" s="131" t="n">
        <x:f>COUNTIFS('Post Archive'!$C$2:$C$1051,B21,'Post Archive'!$G$2:$G$1051,"웹소설 직접",'Post Archive'!$H$2:$H$1051,"&lt;&gt;기타/검토")</x:f>
        <x:v>13</x:v>
      </x:c>
      <x:c r="J21" s="131" t="n">
        <x:f>COUNTIFS('Post Archive'!$C$2:$C$1051,B21,'Post Archive'!$G$2:$G$1051,"웹소설 직접",'Post Archive'!$P$2:$P$1051,"예")</x:f>
        <x:v>9</x:v>
      </x:c>
      <x:c r="K21" s="131" t="n">
        <x:f>COUNTIF('Evidence Review'!$B$2:$B$31,B21)</x:f>
        <x:v>3</x:v>
      </x:c>
      <x:c r="L21" s="131" t="n">
        <x:f>COUNTIFS('Post Archive'!$C$2:$C$1051,B21,'Post Archive'!$G$2:$G$1051,"웹툰 참고")</x:f>
        <x:v>0</x:v>
      </x:c>
      <x:c r="M21" s="131" t="n">
        <x:f>COUNTIFS('Post Archive'!$C$2:$C$1051,B21,'Post Archive'!$G$2:$G$1051,"공통 창작소재")</x:f>
        <x:v>0</x:v>
      </x:c>
      <x:c r="N21" s="132" t="n">
        <x:f>IFERROR(D21/C21,0)</x:f>
        <x:v>1</x:v>
      </x:c>
      <x:c r="O21" s="132" t="n">
        <x:f>IFERROR(E21/D21,0)</x:f>
        <x:v>0.8571428571428571</x:v>
      </x:c>
      <x:c r="P21" s="132" t="n">
        <x:f>IFERROR(K21/D21,0)</x:f>
        <x:v>0.21428571428571427</x:v>
      </x:c>
    </x:row>
    <x:row r="22">
      <x:c r="B22" s="30"/>
      <x:c r="C22" s="31"/>
      <x:c r="D22" s="31"/>
      <x:c r="E22" s="32"/>
      <x:c r="F22" s="32"/>
      <x:c r="G22" s="33"/>
      <x:c r="H22" s="34"/>
      <x:c r="I22" s="32"/>
      <x:c r="J22" s="31"/>
      <x:c r="K22" s="31"/>
      <x:c r="L22" s="32"/>
      <x:c r="M22" s="32"/>
      <x:c r="N22" s="33"/>
      <x:c r="O22" s="34"/>
      <x:c r="P22" s="32"/>
    </x:row>
    <x:row r="23">
      <x:c r="B23" s="30"/>
      <x:c r="C23" s="31"/>
      <x:c r="D23" s="31"/>
      <x:c r="E23" s="32"/>
      <x:c r="F23" s="32"/>
      <x:c r="G23" s="33"/>
      <x:c r="H23" s="34"/>
      <x:c r="I23" s="32"/>
      <x:c r="J23" s="31"/>
      <x:c r="K23" s="31"/>
      <x:c r="L23" s="32"/>
      <x:c r="M23" s="32"/>
      <x:c r="N23" s="33"/>
      <x:c r="O23" s="34"/>
      <x:c r="P23" s="32"/>
    </x:row>
    <x:row r="24">
      <x:c r="B24" s="30"/>
      <x:c r="C24" s="31"/>
      <x:c r="D24" s="31"/>
      <x:c r="E24" s="32"/>
      <x:c r="F24" s="32"/>
      <x:c r="G24" s="33"/>
      <x:c r="H24" s="34"/>
      <x:c r="I24" s="32"/>
      <x:c r="J24" s="31"/>
      <x:c r="K24" s="31"/>
      <x:c r="L24" s="32"/>
      <x:c r="M24" s="32"/>
      <x:c r="N24" s="33"/>
      <x:c r="O24" s="34"/>
      <x:c r="P24" s="32"/>
    </x:row>
    <x:row r="25">
      <x:c r="B25" s="30"/>
      <x:c r="C25" s="31"/>
      <x:c r="D25" s="31"/>
      <x:c r="E25" s="32"/>
      <x:c r="F25" s="32"/>
      <x:c r="G25" s="33"/>
      <x:c r="H25" s="34"/>
      <x:c r="I25" s="32"/>
      <x:c r="J25" s="31"/>
      <x:c r="K25" s="31"/>
      <x:c r="L25" s="32"/>
      <x:c r="M25" s="32"/>
      <x:c r="N25" s="33"/>
      <x:c r="O25" s="34"/>
      <x:c r="P25" s="32"/>
    </x:row>
    <x:row r="26">
      <x:c r="B26" s="30"/>
      <x:c r="C26" s="31"/>
      <x:c r="D26" s="31"/>
      <x:c r="E26" s="32"/>
      <x:c r="F26" s="32"/>
      <x:c r="G26" s="33"/>
      <x:c r="H26" s="34"/>
      <x:c r="I26" s="32"/>
      <x:c r="J26" s="31"/>
      <x:c r="K26" s="31"/>
      <x:c r="L26" s="32"/>
      <x:c r="M26" s="32"/>
      <x:c r="N26" s="33"/>
      <x:c r="O26" s="34"/>
      <x:c r="P26" s="32"/>
    </x:row>
    <x:row r="27">
      <x:c r="B27" s="30"/>
      <x:c r="C27" s="31"/>
      <x:c r="D27" s="31"/>
      <x:c r="E27" s="32"/>
      <x:c r="F27" s="32"/>
      <x:c r="G27" s="33"/>
      <x:c r="H27" s="34"/>
      <x:c r="I27" s="32"/>
      <x:c r="J27" s="31"/>
      <x:c r="K27" s="31"/>
      <x:c r="L27" s="32"/>
      <x:c r="M27" s="32"/>
      <x:c r="N27" s="33"/>
      <x:c r="O27" s="34"/>
      <x:c r="P27" s="32"/>
    </x:row>
    <x:row r="28">
      <x:c r="B28" s="28"/>
      <x:c r="C28" s="28"/>
      <x:c r="D28" s="28"/>
      <x:c r="E28" s="28"/>
      <x:c r="F28" s="28"/>
      <x:c r="G28" s="28"/>
      <x:c r="H28" s="28"/>
      <x:c r="I28" s="28"/>
      <x:c r="J28" s="28"/>
      <x:c r="K28" s="28"/>
      <x:c r="L28" s="28"/>
      <x:c r="M28" s="28"/>
      <x:c r="N28" s="28"/>
      <x:c r="O28" s="28"/>
      <x:c r="P28" s="28"/>
    </x:row>
    <x:row r="29" ht="22" customHeight="1">
      <x:c r="B29" s="147" t="str">
        <x:v>수집·편집 퍼널</x:v>
      </x:c>
      <x:c r="C29" s="148"/>
      <x:c r="D29" s="86"/>
      <x:c r="E29" s="86"/>
      <x:c r="F29" s="28"/>
      <x:c r="G29" s="86"/>
      <x:c r="H29" s="147" t="str">
        <x:v>웹소설 출처 유형</x:v>
      </x:c>
      <x:c r="I29" s="148"/>
      <x:c r="J29" s="86"/>
      <x:c r="K29" s="28"/>
      <x:c r="L29" s="28"/>
      <x:c r="M29" s="28"/>
      <x:c r="N29" s="28"/>
      <x:c r="O29" s="28"/>
      <x:c r="P29" s="28"/>
    </x:row>
    <x:row r="30">
      <x:c r="B30" s="149" t="str">
        <x:v>단계</x:v>
      </x:c>
      <x:c r="C30" s="150" t="str">
        <x:v>건수</x:v>
      </x:c>
      <x:c r="D30" s="28"/>
      <x:c r="E30" s="28"/>
      <x:c r="F30" s="28"/>
      <x:c r="G30" s="3"/>
      <x:c r="H30" s="149" t="str">
        <x:v>출처 유형</x:v>
      </x:c>
      <x:c r="I30" s="152" t="str">
        <x:v>건수</x:v>
      </x:c>
      <x:c r="J30" s="28"/>
      <x:c r="K30" s="28"/>
      <x:c r="L30" s="28"/>
      <x:c r="M30" s="28"/>
      <x:c r="N30" s="28"/>
      <x:c r="O30" s="28"/>
      <x:c r="P30" s="28"/>
    </x:row>
    <x:row r="31">
      <x:c r="B31" s="138" t="str">
        <x:v>전체 공개 글</x:v>
      </x:c>
      <x:c r="C31" s="139" t="n">
        <x:f>1050</x:f>
        <x:v>1050</x:v>
      </x:c>
      <x:c r="D31" s="28"/>
      <x:c r="E31" s="28"/>
      <x:c r="F31" s="28"/>
      <x:c r="G31" s="4"/>
      <x:c r="H31" s="143" t="str">
        <x:v>재게시</x:v>
      </x:c>
      <x:c r="I31" s="144" t="n">
        <x:f>SUM(E16:E21)</x:f>
        <x:v>460</x:v>
      </x:c>
      <x:c r="J31" s="28"/>
      <x:c r="K31" s="28"/>
      <x:c r="L31" s="28"/>
      <x:c r="M31" s="28"/>
      <x:c r="N31" s="28"/>
      <x:c r="O31" s="28"/>
      <x:c r="P31" s="28"/>
    </x:row>
    <x:row r="32">
      <x:c r="B32" s="138" t="str">
        <x:v>웹소설 직접</x:v>
      </x:c>
      <x:c r="C32" s="139" t="n">
        <x:f>SUM(D16:D21)</x:f>
        <x:v>609</x:v>
      </x:c>
      <x:c r="D32" s="28"/>
      <x:c r="E32" s="28"/>
      <x:c r="F32" s="28"/>
      <x:c r="G32" s="4"/>
      <x:c r="H32" s="143" t="str">
        <x:v>본인 작성/의견</x:v>
      </x:c>
      <x:c r="I32" s="144" t="n">
        <x:f>SUM(F16:F21)</x:f>
        <x:v>102</x:v>
      </x:c>
      <x:c r="J32" s="28"/>
      <x:c r="K32" s="28"/>
      <x:c r="L32" s="28"/>
      <x:c r="M32" s="28"/>
      <x:c r="N32" s="28"/>
      <x:c r="O32" s="28"/>
      <x:c r="P32" s="28"/>
    </x:row>
    <x:row r="33">
      <x:c r="B33" s="138" t="str">
        <x:v>주제 분류 완료</x:v>
      </x:c>
      <x:c r="C33" s="139" t="n">
        <x:f>SUM(I16:I21)</x:f>
        <x:v>595</x:v>
      </x:c>
      <x:c r="D33" s="28"/>
      <x:c r="E33" s="28"/>
      <x:c r="F33" s="28"/>
      <x:c r="G33" s="4"/>
      <x:c r="H33" s="143" t="str">
        <x:v>본인 경험담</x:v>
      </x:c>
      <x:c r="I33" s="144" t="n">
        <x:f>SUM(G16:G21)</x:f>
        <x:v>32</x:v>
      </x:c>
      <x:c r="J33" s="28"/>
      <x:c r="K33" s="28"/>
      <x:c r="L33" s="28"/>
      <x:c r="M33" s="28"/>
      <x:c r="N33" s="28"/>
      <x:c r="O33" s="28"/>
      <x:c r="P33" s="28"/>
    </x:row>
    <x:row r="34">
      <x:c r="B34" s="138" t="str">
        <x:v>편집 후보</x:v>
      </x:c>
      <x:c r="C34" s="139" t="n">
        <x:f>SUM(J16:J21)</x:f>
        <x:v>377</x:v>
      </x:c>
      <x:c r="D34" s="28"/>
      <x:c r="E34" s="28"/>
      <x:c r="F34" s="28"/>
      <x:c r="G34" s="4"/>
      <x:c r="H34" s="143" t="str">
        <x:v>외부자료</x:v>
      </x:c>
      <x:c r="I34" s="144" t="n">
        <x:f>SUM(H16:H21)</x:f>
        <x:v>15</x:v>
      </x:c>
      <x:c r="J34" s="28"/>
      <x:c r="K34" s="28"/>
      <x:c r="L34" s="28"/>
      <x:c r="M34" s="28"/>
      <x:c r="N34" s="28"/>
      <x:c r="O34" s="28"/>
      <x:c r="P34" s="28"/>
    </x:row>
    <x:row r="35">
      <x:c r="B35" s="140" t="str">
        <x:v>원문 감리</x:v>
      </x:c>
      <x:c r="C35" s="141" t="n">
        <x:f>SUM(K16:K21)</x:f>
        <x:v>30</x:v>
      </x:c>
      <x:c r="D35" s="28"/>
      <x:c r="E35" s="28"/>
      <x:c r="F35" s="28"/>
      <x:c r="G35" s="5"/>
      <x:c r="H35" s="145" t="str">
        <x:v>기타/불명확</x:v>
      </x:c>
      <x:c r="I35" s="146" t="n">
        <x:f>SUM(D16:D21)-SUM(E16:H21)</x:f>
        <x:v>0</x:v>
      </x:c>
      <x:c r="J35" s="28"/>
      <x:c r="K35" s="28"/>
      <x:c r="L35" s="28"/>
      <x:c r="M35" s="28"/>
      <x:c r="N35" s="28"/>
      <x:c r="O35" s="28"/>
      <x:c r="P35" s="28"/>
    </x:row>
  </x:sheetData>
  <x:mergeCells>
    <x:mergeCell ref="C11:P11"/>
    <x:mergeCell ref="B13:P13"/>
    <x:mergeCell ref="B5:P5"/>
    <x:mergeCell ref="B6:P6"/>
    <x:mergeCell ref="B7:P7"/>
  </x:mergeCells>
  <x:dataValidations count="1">
    <x:dataValidation type="list" sqref="C9">
      <x:formula1>$B$16:$B$27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baseColWidth="10" defaultColWidth="8.83203125" defaultRowHeight="14"/>
  <x:cols>
    <x:col min="1" max="1" width="27" customWidth="1"/>
    <x:col min="2" max="4" width="14" customWidth="1"/>
    <x:col min="5" max="5" width="12" customWidth="1"/>
    <x:col min="6" max="6" width="14" customWidth="1"/>
    <x:col min="7" max="7" width="3" customWidth="1"/>
    <x:col min="8" max="8" width="14" customWidth="1"/>
    <x:col min="9" max="9" width="15" customWidth="1"/>
    <x:col min="10" max="10" width="14" customWidth="1"/>
    <x:col min="11" max="11" width="3" customWidth="1"/>
    <x:col min="12" max="12" width="14" customWidth="1"/>
    <x:col min="13" max="13" width="15" customWidth="1"/>
    <x:col min="14" max="14" width="14" customWidth="1"/>
    <x:col min="15" max="15" width="3" customWidth="1"/>
    <x:col min="16" max="16" width="24" customWidth="1"/>
    <x:col min="17" max="17" width="15" customWidth="1"/>
    <x:col min="18" max="18" width="3" customWidth="1"/>
    <x:col min="19" max="19" width="16" customWidth="1"/>
    <x:col min="20" max="20" width="15" customWidth="1"/>
  </x:cols>
  <x:sheetData>
    <x:row r="1">
      <x:c r="A1" s="3" t="str">
        <x:v>Metric</x:v>
      </x:c>
      <x:c r="B1" s="3" t="str">
        <x:v>Actual</x:v>
      </x:c>
      <x:c r="C1" s="3" t="str">
        <x:v>Reference</x:v>
      </x:c>
      <x:c r="D1" s="3" t="str">
        <x:v>Base</x:v>
      </x:c>
      <x:c r="E1" s="3" t="str">
        <x:v>Direction</x:v>
      </x:c>
      <x:c r="F1" s="3" t="str">
        <x:v>Status</x:v>
      </x:c>
      <x:c r="G1" s="4"/>
      <x:c r="H1" s="3" t="str">
        <x:v>연도</x:v>
      </x:c>
      <x:c r="I1" s="3" t="str">
        <x:v>전체 글</x:v>
      </x:c>
      <x:c r="J1" s="3" t="str">
        <x:v>웹소설 직접</x:v>
      </x:c>
      <x:c r="K1" s="4"/>
      <x:c r="L1" s="3" t="str">
        <x:v>주제</x:v>
      </x:c>
      <x:c r="M1" s="3" t="str">
        <x:v>글 수</x:v>
      </x:c>
      <x:c r="N1" s="3"/>
      <x:c r="O1" s="4"/>
      <x:c r="P1" s="3" t="str">
        <x:v>단계</x:v>
      </x:c>
      <x:c r="Q1" s="3" t="str">
        <x:v>건수</x:v>
      </x:c>
      <x:c r="R1" s="4"/>
      <x:c r="S1" s="3" t="str">
        <x:v>출처 유형</x:v>
      </x:c>
      <x:c r="T1" s="3" t="str">
        <x:v>글 수</x:v>
      </x:c>
    </x:row>
    <x:row r="2">
      <x:c r="A2" s="4" t="str">
        <x:v>전체 공개 글</x:v>
      </x:c>
      <x:c r="B2" s="6" t="n">
        <x:f>COUNTA('Post Archive'!$D$2:$D$1051)</x:f>
        <x:v>1050</x:v>
      </x:c>
      <x:c r="C2" s="6" t="n">
        <x:v>1050</x:v>
      </x:c>
      <x:c r="D2" s="6" t="n">
        <x:v>1050</x:v>
      </x:c>
      <x:c r="E2" s="4" t="str">
        <x:f t="shared" ref="E2:E7" si="0">"Higher"</x:f>
        <x:v>정본</x:v>
      </x:c>
      <x:c r="F2" s="4" t="str">
        <x:f t="shared" ref="F2:F9" si="1">IF(B2&gt;=C2,"완료","진행")</x:f>
        <x:v>완료</x:v>
      </x:c>
      <x:c r="G2" s="4"/>
      <x:c r="H2" s="11" t="n">
        <x:v>2018</x:v>
      </x:c>
      <x:c r="I2" s="4" t="n">
        <x:f>COUNTIF('Post Archive'!$C$2:$C$1051,H2)</x:f>
        <x:v>368</x:v>
      </x:c>
      <x:c r="J2" s="4" t="n">
        <x:f>COUNTIFS('Post Archive'!$C$2:$C$1051,H2,'Post Archive'!$G$2:$G$1051,"웹소설 직접")</x:f>
        <x:v>143</x:v>
      </x:c>
      <x:c r="K2" s="4"/>
      <x:c r="L2" s="11" t="str">
        <x:v>작법·상업성</x:v>
      </x:c>
      <x:c r="M2" s="4" t="n">
        <x:f>COUNTIFS('Post Archive'!$G$2:$G$1051,"웹소설 직접",'Post Archive'!$H$2:$H$1051,L2)</x:f>
        <x:v>248</x:v>
      </x:c>
      <x:c r="N2" s="4"/>
      <x:c r="O2" s="4"/>
      <x:c r="P2" s="4" t="str">
        <x:v>전체 공개 글</x:v>
      </x:c>
      <x:c r="Q2" s="6" t="n">
        <x:f>B2</x:f>
        <x:v>1050</x:v>
      </x:c>
      <x:c r="R2" s="4"/>
      <x:c r="S2" s="4" t="str">
        <x:v>재게시</x:v>
      </x:c>
      <x:c r="T2" s="9" t="n">
        <x:f>COUNTIFS('Post Archive'!$G$2:$G$1051,"웹소설 직접",'Post Archive'!$K$2:$K$1051,"재게시")</x:f>
        <x:v>460</x:v>
      </x:c>
    </x:row>
    <x:row r="3">
      <x:c r="A3" s="4" t="str">
        <x:v>웹소설 직접</x:v>
      </x:c>
      <x:c r="B3" s="6" t="n">
        <x:f>COUNTIF('Post Archive'!$G$2:$G$1051,"웹소설 직접")</x:f>
        <x:v>609</x:v>
      </x:c>
      <x:c r="C3" s="6" t="n">
        <x:v>609</x:v>
      </x:c>
      <x:c r="D3" s="6" t="n">
        <x:v>1050</x:v>
      </x:c>
      <x:c r="E3" s="4" t="str">
        <x:f t="shared" si="0"/>
        <x:v>범위</x:v>
      </x:c>
      <x:c r="F3" s="4" t="str">
        <x:f t="shared" si="1">IF(B3&gt;=C3,"완료","진행")</x:f>
        <x:v>완료</x:v>
      </x:c>
      <x:c r="G3" s="4"/>
      <x:c r="H3" s="11" t="n">
        <x:v>2019</x:v>
      </x:c>
      <x:c r="I3" s="4" t="n">
        <x:f>COUNTIF('Post Archive'!$C$2:$C$1051,H3)</x:f>
        <x:v>235</x:v>
      </x:c>
      <x:c r="J3" s="4" t="n">
        <x:f>COUNTIFS('Post Archive'!$C$2:$C$1051,H3,'Post Archive'!$G$2:$G$1051,"웹소설 직접")</x:f>
        <x:v>201</x:v>
      </x:c>
      <x:c r="K3" s="4"/>
      <x:c r="L3" s="11" t="str">
        <x:v>캐릭터·전개</x:v>
      </x:c>
      <x:c r="M3" s="4" t="n">
        <x:f>COUNTIFS('Post Archive'!$G$2:$G$1051,"웹소설 직접",'Post Archive'!$H$2:$H$1051,L3)</x:f>
        <x:v>175</x:v>
      </x:c>
      <x:c r="N3" s="4"/>
      <x:c r="O3" s="4"/>
      <x:c r="P3" s="4" t="str">
        <x:v>웹소설 직접</x:v>
      </x:c>
      <x:c r="Q3" s="6" t="n">
        <x:f>B3</x:f>
        <x:v>609</x:v>
      </x:c>
      <x:c r="R3" s="4"/>
      <x:c r="S3" s="4" t="str">
        <x:v>본인 작성/의견</x:v>
      </x:c>
      <x:c r="T3" s="9" t="n">
        <x:f>COUNTIFS('Post Archive'!$G$2:$G$1051,"웹소설 직접",'Post Archive'!$K$2:$K$1051,"본인 작성/의견 추정")</x:f>
        <x:v>102</x:v>
      </x:c>
    </x:row>
    <x:row r="4">
      <x:c r="A4" s="4" t="str">
        <x:v>출처 판정</x:v>
      </x:c>
      <x:c r="B4" s="7" t="n">
        <x:v>1</x:v>
      </x:c>
      <x:c r="C4" s="7" t="n">
        <x:v>1</x:v>
      </x:c>
      <x:c r="D4" s="7" t="n">
        <x:v>1</x:v>
      </x:c>
      <x:c r="E4" s="4" t="str">
        <x:f t="shared" si="0"/>
        <x:v>높을수록</x:v>
      </x:c>
      <x:c r="F4" s="4" t="str">
        <x:f t="shared" si="1">IF(B4&gt;=C4,"완료","진행")</x:f>
        <x:v>완료</x:v>
      </x:c>
      <x:c r="G4" s="4"/>
      <x:c r="H4" s="11" t="n">
        <x:v>2020</x:v>
      </x:c>
      <x:c r="I4" s="4" t="n">
        <x:f>COUNTIF('Post Archive'!$C$2:$C$1051,H4)</x:f>
        <x:v>281</x:v>
      </x:c>
      <x:c r="J4" s="4" t="n">
        <x:f>COUNTIFS('Post Archive'!$C$2:$C$1051,H4,'Post Archive'!$G$2:$G$1051,"웹소설 직접")</x:f>
        <x:v>136</x:v>
      </x:c>
      <x:c r="K4" s="4"/>
      <x:c r="L4" s="11" t="str">
        <x:v>플랫폼·투고·계약</x:v>
      </x:c>
      <x:c r="M4" s="4" t="n">
        <x:f>COUNTIFS('Post Archive'!$G$2:$G$1051,"웹소설 직접",'Post Archive'!$H$2:$H$1051,L4)</x:f>
        <x:v>85</x:v>
      </x:c>
      <x:c r="N4" s="4"/>
      <x:c r="O4" s="4"/>
      <x:c r="P4" s="4" t="str">
        <x:v>주제 분류 완료</x:v>
      </x:c>
      <x:c r="Q4" s="6" t="n">
        <x:f>COUNTIFS('Post Archive'!$G$2:$G$1051,"웹소설 직접",'Post Archive'!$H$2:$H$1051,"&lt;&gt;기타/검토")</x:f>
        <x:v>595</x:v>
      </x:c>
      <x:c r="R4" s="4"/>
      <x:c r="S4" s="4" t="str">
        <x:v>본인 경험담</x:v>
      </x:c>
      <x:c r="T4" s="9" t="n">
        <x:f>COUNTIFS('Post Archive'!$G$2:$G$1051,"웹소설 직접",'Post Archive'!$K$2:$K$1051,"본인 경험담 추정")</x:f>
        <x:v>32</x:v>
      </x:c>
    </x:row>
    <x:row r="5">
      <x:c r="A5" s="4" t="str">
        <x:v>원문 수동 감리</x:v>
      </x:c>
      <x:c r="B5" s="7" t="n">
        <x:f>COUNTA('Evidence Review'!$C$2:$C$31)</x:f>
        <x:v>30</x:v>
      </x:c>
      <x:c r="C5" s="7" t="n">
        <x:v>50</x:v>
      </x:c>
      <x:c r="D5" s="7" t="n">
        <x:v>609</x:v>
      </x:c>
      <x:c r="E5" s="4" t="str">
        <x:f t="shared" si="0"/>
        <x:v>높을수록</x:v>
      </x:c>
      <x:c r="F5" s="4" t="str">
        <x:f t="shared" si="1">IF(B5&gt;=C5,"완료","진행")</x:f>
        <x:v>진행</x:v>
      </x:c>
      <x:c r="G5" s="4"/>
      <x:c r="H5" s="11" t="n">
        <x:v>2021</x:v>
      </x:c>
      <x:c r="I5" s="4" t="n">
        <x:f>COUNTIF('Post Archive'!$C$2:$C$1051,H5)</x:f>
        <x:v>82</x:v>
      </x:c>
      <x:c r="J5" s="4" t="n">
        <x:f>COUNTIFS('Post Archive'!$C$2:$C$1051,H5,'Post Archive'!$G$2:$G$1051,"웹소설 직접")</x:f>
        <x:v>65</x:v>
      </x:c>
      <x:c r="K5" s="4"/>
      <x:c r="L5" s="11" t="str">
        <x:v>수익·운영</x:v>
      </x:c>
      <x:c r="M5" s="4" t="n">
        <x:f>COUNTIFS('Post Archive'!$G$2:$G$1051,"웹소설 직접",'Post Archive'!$H$2:$H$1051,L5)</x:f>
        <x:v>44</x:v>
      </x:c>
      <x:c r="N5" s="4"/>
      <x:c r="O5" s="4"/>
      <x:c r="P5" s="4" t="str">
        <x:v>편집 후보</x:v>
      </x:c>
      <x:c r="Q5" s="6" t="n">
        <x:f>B7</x:f>
        <x:v>377</x:v>
      </x:c>
      <x:c r="R5" s="4"/>
      <x:c r="S5" s="4" t="str">
        <x:v>외부자료</x:v>
      </x:c>
      <x:c r="T5" s="9" t="n">
        <x:f>COUNTIFS('Post Archive'!$G$2:$G$1051,"웹소설 직접",'Post Archive'!$K$2:$K$1051,"외부자료 소개/재가공")</x:f>
        <x:v>15</x:v>
      </x:c>
    </x:row>
    <x:row r="6">
      <x:c r="A6" s="4" t="str">
        <x:v>수집 연도</x:v>
      </x:c>
      <x:c r="B6" s="8" t="n">
        <x:v>6</x:v>
      </x:c>
      <x:c r="C6" s="8" t="n">
        <x:v>6</x:v>
      </x:c>
      <x:c r="D6" s="8" t="n">
        <x:v>6</x:v>
      </x:c>
      <x:c r="E6" s="4" t="str">
        <x:f t="shared" si="0"/>
        <x:v>정본</x:v>
      </x:c>
      <x:c r="F6" s="4" t="str">
        <x:f t="shared" si="1">IF(B6&gt;=C6,"완료","진행")</x:f>
        <x:v>완료</x:v>
      </x:c>
      <x:c r="G6" s="4"/>
      <x:c r="H6" s="11" t="n">
        <x:v>2022</x:v>
      </x:c>
      <x:c r="I6" s="4" t="n">
        <x:f>COUNTIF('Post Archive'!$C$2:$C$1051,H6)</x:f>
        <x:v>70</x:v>
      </x:c>
      <x:c r="J6" s="4" t="n">
        <x:f>COUNTIFS('Post Archive'!$C$2:$C$1051,H6,'Post Archive'!$G$2:$G$1051,"웹소설 직접")</x:f>
        <x:v>50</x:v>
      </x:c>
      <x:c r="K6" s="4"/>
      <x:c r="L6" s="11" t="str">
        <x:v>초반부/연독률</x:v>
      </x:c>
      <x:c r="M6" s="4" t="n">
        <x:f>COUNTIFS('Post Archive'!$G$2:$G$1051,"웹소설 직접",'Post Archive'!$H$2:$H$1051,L6)</x:f>
        <x:v>43</x:v>
      </x:c>
      <x:c r="N6" s="4"/>
      <x:c r="O6" s="4"/>
      <x:c r="P6" s="4" t="str">
        <x:v>원문 감리</x:v>
      </x:c>
      <x:c r="Q6" s="6" t="n">
        <x:f>B5</x:f>
        <x:v>30</x:v>
      </x:c>
      <x:c r="R6" s="4"/>
      <x:c r="S6" s="4"/>
      <x:c r="T6" s="4"/>
    </x:row>
    <x:row r="7">
      <x:c r="A7" s="4" t="str">
        <x:v>편집 후보</x:v>
      </x:c>
      <x:c r="B7" s="9" t="n">
        <x:f>COUNTIFS('Post Archive'!$G$2:$G$1051,"웹소설 직접",'Post Archive'!$P$2:$P$1051,"예")</x:f>
        <x:v>377</x:v>
      </x:c>
      <x:c r="C7" s="9" t="n">
        <x:v>609</x:v>
      </x:c>
      <x:c r="D7" s="9" t="n">
        <x:v>609</x:v>
      </x:c>
      <x:c r="E7" s="4" t="str">
        <x:f t="shared" si="0"/>
        <x:v>탐색</x:v>
      </x:c>
      <x:c r="F7" s="4" t="str">
        <x:f t="shared" si="1">IF(B7&gt;=C7,"완료","진행")</x:f>
        <x:v>진행</x:v>
      </x:c>
      <x:c r="G7" s="4"/>
      <x:c r="H7" s="11" t="n">
        <x:v>2023</x:v>
      </x:c>
      <x:c r="I7" s="4" t="n">
        <x:f>COUNTIF('Post Archive'!$C$2:$C$1051,H7)</x:f>
        <x:v>14</x:v>
      </x:c>
      <x:c r="J7" s="4" t="n">
        <x:f>COUNTIFS('Post Archive'!$C$2:$C$1051,H7,'Post Archive'!$G$2:$G$1051,"웹소설 직접")</x:f>
        <x:v>14</x:v>
      </x:c>
      <x:c r="K7" s="4"/>
      <x:c r="L7" s="11" t="str">
        <x:v>기타/검토</x:v>
      </x:c>
      <x:c r="M7" s="4" t="n">
        <x:f>COUNTIFS('Post Archive'!$G$2:$G$1051,"웹소설 직접",'Post Archive'!$H$2:$H$1051,L7)</x:f>
        <x:v>14</x:v>
      </x:c>
      <x:c r="N7" s="4"/>
      <x:c r="O7" s="4"/>
      <x:c r="P7" s="4"/>
      <x:c r="Q7" s="4"/>
      <x:c r="R7" s="4"/>
      <x:c r="S7" s="4"/>
      <x:c r="T7" s="4"/>
    </x:row>
    <x:row r="8">
      <x:c r="A8" s="4" t="str">
        <x:v>재게시 비중</x:v>
      </x:c>
      <x:c r="B8" s="7" t="n">
        <x:f>COUNTIFS('Post Archive'!$G$2:$G$1051,"웹소설 직접",'Post Archive'!$K$2:$K$1051,"재게시")/B3</x:f>
        <x:v>0.7553366174055829</x:v>
      </x:c>
      <x:c r="C8" s="7"/>
      <x:c r="D8" s="7" t="n">
        <x:v>609</x:v>
      </x:c>
      <x:c r="E8" s="4" t="str">
        <x:v>맥락</x:v>
      </x:c>
      <x:c r="F8" s="4" t="str">
        <x:f t="shared" si="1"/>
        <x:v>맥락</x:v>
      </x:c>
      <x:c r="G8" s="4"/>
      <x:c r="H8" s="11"/>
      <x:c r="I8" s="4"/>
      <x:c r="J8" s="4"/>
      <x:c r="K8" s="4"/>
      <x:c r="L8" s="11"/>
      <x:c r="M8" s="4"/>
      <x:c r="N8" s="4"/>
      <x:c r="O8" s="4"/>
      <x:c r="P8" s="4"/>
      <x:c r="Q8" s="4"/>
      <x:c r="R8" s="4"/>
      <x:c r="S8" s="4"/>
      <x:c r="T8" s="4"/>
    </x:row>
    <x:row r="9">
      <x:c r="A9" s="4" t="str">
        <x:v>통합 원칙</x:v>
      </x:c>
      <x:c r="B9" s="10" t="n">
        <x:v>12</x:v>
      </x:c>
      <x:c r="C9" s="10" t="n">
        <x:v>12</x:v>
      </x:c>
      <x:c r="D9" s="10" t="n">
        <x:v>12</x:v>
      </x:c>
      <x:c r="E9" s="4" t="str">
        <x:v>높을수록</x:v>
      </x:c>
      <x:c r="F9" s="4" t="str">
        <x:f t="shared" si="1">IF(B9&gt;=C9,"완료","진행")</x:f>
        <x:v>완료</x:v>
      </x:c>
      <x:c r="G9" s="4"/>
      <x:c r="H9" s="11"/>
      <x:c r="I9" s="4"/>
      <x:c r="J9" s="4"/>
      <x:c r="K9" s="4"/>
      <x:c r="L9" s="11"/>
      <x:c r="M9" s="4"/>
      <x:c r="N9" s="4"/>
      <x:c r="O9" s="4"/>
      <x:c r="P9" s="4"/>
      <x:c r="Q9" s="4"/>
      <x:c r="R9" s="4"/>
      <x:c r="S9" s="4"/>
      <x:c r="T9" s="4"/>
    </x:row>
    <x:row r="10">
      <x:c r="A10" s="4"/>
      <x:c r="B10" s="4"/>
      <x:c r="C10" s="4"/>
      <x:c r="D10" s="4"/>
      <x:c r="E10" s="4"/>
      <x:c r="F10" s="4"/>
      <x:c r="G10" s="4"/>
      <x:c r="H10" s="11"/>
      <x:c r="I10" s="4"/>
      <x:c r="J10" s="4"/>
      <x:c r="K10" s="4"/>
      <x:c r="L10" s="11"/>
      <x:c r="M10" s="4"/>
      <x:c r="N10" s="4"/>
      <x:c r="O10" s="4"/>
      <x:c r="P10" s="4"/>
      <x:c r="Q10" s="4"/>
      <x:c r="R10" s="4"/>
      <x:c r="S10" s="4"/>
      <x:c r="T10" s="4"/>
    </x:row>
    <x:row r="11">
      <x:c r="A11" s="4"/>
      <x:c r="B11" s="4"/>
      <x:c r="C11" s="4"/>
      <x:c r="D11" s="4"/>
      <x:c r="E11" s="4"/>
      <x:c r="F11" s="4"/>
      <x:c r="G11" s="4"/>
      <x:c r="H11" s="11"/>
      <x:c r="I11" s="4"/>
      <x:c r="J11" s="4"/>
      <x:c r="K11" s="4"/>
      <x:c r="L11" s="11"/>
      <x:c r="M11" s="4"/>
      <x:c r="N11" s="4"/>
      <x:c r="O11" s="4"/>
      <x:c r="P11" s="4"/>
      <x:c r="Q11" s="4"/>
      <x:c r="R11" s="4"/>
      <x:c r="S11" s="4"/>
      <x:c r="T11" s="4"/>
    </x:row>
    <x:row r="12">
      <x:c r="A12" s="4"/>
      <x:c r="B12" s="4"/>
      <x:c r="C12" s="4"/>
      <x:c r="D12" s="4"/>
      <x:c r="E12" s="4"/>
      <x:c r="F12" s="4"/>
      <x:c r="G12" s="4"/>
      <x:c r="H12" s="11"/>
      <x:c r="I12" s="4"/>
      <x:c r="J12" s="4"/>
      <x:c r="K12" s="4"/>
      <x:c r="L12" s="11"/>
      <x:c r="M12" s="4"/>
      <x:c r="N12" s="4"/>
      <x:c r="O12" s="4"/>
      <x:c r="P12" s="4"/>
      <x:c r="Q12" s="4"/>
      <x:c r="R12" s="4"/>
      <x:c r="S12" s="4"/>
      <x:c r="T12" s="4"/>
    </x:row>
    <x:row r="13">
      <x:c r="A13" s="4"/>
      <x:c r="B13" s="4"/>
      <x:c r="C13" s="4"/>
      <x:c r="D13" s="4"/>
      <x:c r="E13" s="4"/>
      <x:c r="F13" s="4"/>
      <x:c r="G13" s="4"/>
      <x:c r="H13" s="11"/>
      <x:c r="I13" s="4"/>
      <x:c r="J13" s="4"/>
      <x:c r="K13" s="4"/>
      <x:c r="L13" s="11"/>
      <x:c r="M13" s="4"/>
      <x:c r="N13" s="4"/>
      <x:c r="O13" s="4"/>
      <x:c r="P13" s="4"/>
      <x:c r="Q13" s="4"/>
      <x:c r="R13" s="4"/>
      <x:c r="S13" s="4"/>
      <x:c r="T13" s="4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.440000057220459" hidden="0" customWidth="1"/>
    <x:col min="2" max="2" width="9.779999732971191" hidden="0" customWidth="1"/>
    <x:col min="3" max="3" width="6.21999979019165" hidden="0" customWidth="1"/>
    <x:col min="4" max="4" width="11.670000076293945" hidden="0" customWidth="1"/>
    <x:col min="5" max="5" width="33.33000183105469" hidden="0" customWidth="1"/>
    <x:col min="6" max="6" width="13.109999656677246" hidden="0" customWidth="1"/>
    <x:col min="7" max="7" width="13.109999656677246" hidden="0" customWidth="1"/>
    <x:col min="8" max="8" width="13.109999656677246" hidden="0" customWidth="1"/>
    <x:col min="9" max="9" width="8" hidden="0" customWidth="1"/>
    <x:col min="10" max="10" width="18.889999389648438" hidden="0" customWidth="1"/>
    <x:col min="11" max="11" width="18.889999389648438" hidden="0" customWidth="1"/>
    <x:col min="12" max="12" width="18.889999389648438" hidden="0" customWidth="1"/>
    <x:col min="13" max="13" width="18.889999389648438" hidden="0" customWidth="1"/>
    <x:col min="14" max="14" width="28.889999389648438" hidden="0" customWidth="1"/>
    <x:col min="15" max="15" width="28.889999389648438" hidden="0" customWidth="1"/>
    <x:col min="16" max="16" width="15" hidden="0" customWidth="1"/>
    <x:col min="17" max="17" width="15" hidden="0" customWidth="1"/>
  </x:cols>
  <x:sheetData>
    <x:row r="1">
      <x:c r="A1" s="97" t="str">
        <x:v>순번</x:v>
      </x:c>
      <x:c r="B1" s="98" t="str">
        <x:v>게시일</x:v>
      </x:c>
      <x:c r="C1" s="98" t="str">
        <x:v>연도</x:v>
      </x:c>
      <x:c r="D1" s="98" t="str">
        <x:v>글 ID</x:v>
      </x:c>
      <x:c r="E1" s="98" t="str">
        <x:v>제목</x:v>
      </x:c>
      <x:c r="F1" s="98" t="str">
        <x:v>블로그 분류</x:v>
      </x:c>
      <x:c r="G1" s="98" t="str">
        <x:v>분석 범위</x:v>
      </x:c>
      <x:c r="H1" s="98" t="str">
        <x:v>자동 주제</x:v>
      </x:c>
      <x:c r="I1" s="98" t="str">
        <x:v>분류 점수</x:v>
      </x:c>
      <x:c r="J1" s="98" t="str">
        <x:v>근거 키워드</x:v>
      </x:c>
      <x:c r="K1" s="98" t="str">
        <x:v>출처 유형</x:v>
      </x:c>
      <x:c r="L1" s="98" t="str">
        <x:v>출처 확신</x:v>
      </x:c>
      <x:c r="M1" s="98" t="str">
        <x:v>출처 판정 근거</x:v>
      </x:c>
      <x:c r="N1" s="98" t="str">
        <x:v>외부 원출처</x:v>
      </x:c>
      <x:c r="O1" s="98" t="str">
        <x:v>네이버 원문</x:v>
      </x:c>
      <x:c r="P1" s="98" t="str">
        <x:v>편집 후보</x:v>
      </x:c>
      <x:c r="Q1" s="99" t="str">
        <x:v>검토 상태</x:v>
      </x:c>
    </x:row>
    <x:row r="2">
      <x:c r="A2" s="100" t="n">
        <x:v>1</x:v>
      </x:c>
      <x:c r="B2" s="101" t="n">
        <x:v>45032</x:v>
      </x:c>
      <x:c r="C2" s="102" t="n">
        <x:v>2023</x:v>
      </x:c>
      <x:c r="D2" s="103" t="str">
        <x:v>ID-223076339890</x:v>
      </x:c>
      <x:c r="E2" s="112" t="str">
        <x:v>[펌]열심히 쓴건 망하고 대충쓰면 뜨는 이유</x:v>
      </x:c>
      <x:c r="F2" s="112" t="str">
        <x:v>웹소작법</x:v>
      </x:c>
      <x:c r="G2" s="112" t="str">
        <x:v>웹소설 직접</x:v>
      </x:c>
      <x:c r="H2" s="112" t="str">
        <x:v>작법·상업성</x:v>
      </x:c>
      <x:c r="I2" s="112" t="n">
        <x:v>5</x:v>
      </x:c>
      <x:c r="J2" s="112" t="str">
        <x:v>재미, 문장, 설정, 독자, 작법</x:v>
      </x:c>
      <x:c r="K2" s="112" t="str">
        <x:v>재게시</x:v>
      </x:c>
      <x:c r="L2" s="112" t="str">
        <x:v>높음</x:v>
      </x:c>
      <x:c r="M2" s="112" t="str">
        <x:v>제목의 펌/퍼옴 표시</x:v>
      </x:c>
      <x:c r="N2" s="116" t="str">
        <x:v>https://gall.dcinside.com/mgallery/board/view/?id=tgijjdd&amp;no=750071&amp;exception_mode=recommend&amp;page=6</x:v>
      </x:c>
      <x:c r="O2" s="116" t="str">
        <x:v>https://m.blog.naver.com/sntu2010/223076339890</x:v>
      </x:c>
      <x:c r="P2" s="112" t="str">
        <x:v>아니오</x:v>
      </x:c>
      <x:c r="Q2" s="113" t="str">
        <x:v>자동 분류·표본 검토 대상</x:v>
      </x:c>
    </x:row>
    <x:row r="3">
      <x:c r="A3" s="100" t="n">
        <x:v>2</x:v>
      </x:c>
      <x:c r="B3" s="101" t="n">
        <x:v>45032</x:v>
      </x:c>
      <x:c r="C3" s="102" t="n">
        <x:v>2023</x:v>
      </x:c>
      <x:c r="D3" s="103" t="str">
        <x:v>ID-223076338031</x:v>
      </x:c>
      <x:c r="E3" s="112" t="str">
        <x:v>[펌]간단한 팁 몇개</x:v>
      </x:c>
      <x:c r="F3" s="112" t="str">
        <x:v>웹소작법</x:v>
      </x:c>
      <x:c r="G3" s="112" t="str">
        <x:v>웹소설 직접</x:v>
      </x:c>
      <x:c r="H3" s="112" t="str">
        <x:v>작법·상업성</x:v>
      </x:c>
      <x:c r="I3" s="112" t="n">
        <x:v>8</x:v>
      </x:c>
      <x:c r="J3" s="112" t="str">
        <x:v>글쓰기, 고구마, 기대감, 독자, 사이다, 재미, 작법</x:v>
      </x:c>
      <x:c r="K3" s="112" t="str">
        <x:v>재게시</x:v>
      </x:c>
      <x:c r="L3" s="112" t="str">
        <x:v>높음</x:v>
      </x:c>
      <x:c r="M3" s="112" t="str">
        <x:v>제목의 펌/퍼옴 표시</x:v>
      </x:c>
      <x:c r="N3" s="116" t="str">
        <x:v>https://gall.dcinside.com/mgallery/board/view/?id=tgijjdd&amp;no=746653&amp;exception_mode=recommend&amp;page=7</x:v>
      </x:c>
      <x:c r="O3" s="116" t="str">
        <x:v>https://m.blog.naver.com/sntu2010/223076338031</x:v>
      </x:c>
      <x:c r="P3" s="112" t="str">
        <x:v>예</x:v>
      </x:c>
      <x:c r="Q3" s="113" t="str">
        <x:v>자동 분류·표본 검토 대상</x:v>
      </x:c>
    </x:row>
    <x:row r="4">
      <x:c r="A4" s="100" t="n">
        <x:v>3</x:v>
      </x:c>
      <x:c r="B4" s="101" t="n">
        <x:v>45032</x:v>
      </x:c>
      <x:c r="C4" s="102" t="n">
        <x:v>2023</x:v>
      </x:c>
      <x:c r="D4" s="103" t="str">
        <x:v>ID-223076337425</x:v>
      </x:c>
      <x:c r="E4" s="112" t="str">
        <x:v>[펌]작법파들에게 주는 팁</x:v>
      </x:c>
      <x:c r="F4" s="112" t="str">
        <x:v>웹소작법</x:v>
      </x:c>
      <x:c r="G4" s="112" t="str">
        <x:v>웹소설 직접</x:v>
      </x:c>
      <x:c r="H4" s="112" t="str">
        <x:v>작법·상업성</x:v>
      </x:c>
      <x:c r="I4" s="112" t="n">
        <x:v>23</x:v>
      </x:c>
      <x:c r="J4" s="112" t="str">
        <x:v>작법, 재미</x:v>
      </x:c>
      <x:c r="K4" s="112" t="str">
        <x:v>재게시</x:v>
      </x:c>
      <x:c r="L4" s="112" t="str">
        <x:v>높음</x:v>
      </x:c>
      <x:c r="M4" s="112" t="str">
        <x:v>제목의 펌/퍼옴 표시</x:v>
      </x:c>
      <x:c r="N4" s="116" t="str">
        <x:v>https://gall.dcinside.com/mgallery/board/view/?id=tgijjdd&amp;no=747907&amp;exception_mode=recommend&amp;page=7</x:v>
      </x:c>
      <x:c r="O4" s="116" t="str">
        <x:v>https://m.blog.naver.com/sntu2010/223076337425</x:v>
      </x:c>
      <x:c r="P4" s="112" t="str">
        <x:v>예</x:v>
      </x:c>
      <x:c r="Q4" s="113" t="str">
        <x:v>자동 분류·표본 검토 대상</x:v>
      </x:c>
    </x:row>
    <x:row r="5">
      <x:c r="A5" s="100" t="n">
        <x:v>4</x:v>
      </x:c>
      <x:c r="B5" s="101" t="n">
        <x:v>45032</x:v>
      </x:c>
      <x:c r="C5" s="102" t="n">
        <x:v>2023</x:v>
      </x:c>
      <x:c r="D5" s="103" t="str">
        <x:v>ID-223076337059</x:v>
      </x:c>
      <x:c r="E5" s="112" t="str">
        <x:v>[펌]글기계 작가가 꿀통 다 풀었던 인터뷰</x:v>
      </x:c>
      <x:c r="F5" s="112" t="str">
        <x:v>웹소작법</x:v>
      </x:c>
      <x:c r="G5" s="112" t="str">
        <x:v>웹소설 직접</x:v>
      </x:c>
      <x:c r="H5" s="112" t="str">
        <x:v>플랫폼·투고·계약</x:v>
      </x:c>
      <x:c r="I5" s="112" t="n">
        <x:v>3</x:v>
      </x:c>
      <x:c r="J5" s="112" t="str">
        <x:v>매니지, 플랫폼</x:v>
      </x:c>
      <x:c r="K5" s="112" t="str">
        <x:v>재게시</x:v>
      </x:c>
      <x:c r="L5" s="112" t="str">
        <x:v>높음</x:v>
      </x:c>
      <x:c r="M5" s="112" t="str">
        <x:v>제목의 펌/퍼옴 표시</x:v>
      </x:c>
      <x:c r="N5" s="116" t="str">
        <x:v>https://gall.dcinside.com/mgallery/board/view/?id=tgijjdd&amp;no=743871&amp;exception_mode=recommend&amp;page=7</x:v>
      </x:c>
      <x:c r="O5" s="116" t="str">
        <x:v>https://m.blog.naver.com/sntu2010/223076337059</x:v>
      </x:c>
      <x:c r="P5" s="112" t="str">
        <x:v>아니오</x:v>
      </x:c>
      <x:c r="Q5" s="113" t="str">
        <x:v>자동 분류·표본 검토 대상</x:v>
      </x:c>
    </x:row>
    <x:row r="6">
      <x:c r="A6" s="100" t="n">
        <x:v>5</x:v>
      </x:c>
      <x:c r="B6" s="101" t="n">
        <x:v>45032</x:v>
      </x:c>
      <x:c r="C6" s="102" t="n">
        <x:v>2023</x:v>
      </x:c>
      <x:c r="D6" s="103" t="str">
        <x:v>ID-223076334927</x:v>
      </x:c>
      <x:c r="E6" s="112" t="str">
        <x:v>[펌]팁에 대한 팁</x:v>
      </x:c>
      <x:c r="F6" s="112" t="str">
        <x:v>웹소작법</x:v>
      </x:c>
      <x:c r="G6" s="112" t="str">
        <x:v>웹소설 직접</x:v>
      </x:c>
      <x:c r="H6" s="112" t="str">
        <x:v>작법·상업성</x:v>
      </x:c>
      <x:c r="I6" s="112" t="n">
        <x:v>5</x:v>
      </x:c>
      <x:c r="J6" s="112" t="str">
        <x:v>대리만족, 작법</x:v>
      </x:c>
      <x:c r="K6" s="112" t="str">
        <x:v>재게시</x:v>
      </x:c>
      <x:c r="L6" s="112" t="str">
        <x:v>높음</x:v>
      </x:c>
      <x:c r="M6" s="112" t="str">
        <x:v>제목의 펌/퍼옴 표시</x:v>
      </x:c>
      <x:c r="N6" s="116" t="str">
        <x:v>https://gall.dcinside.com/mgallery/board/view/?id=tgijjdd&amp;no=743174&amp;exception_mode=recommend&amp;page=7</x:v>
      </x:c>
      <x:c r="O6" s="116" t="str">
        <x:v>https://m.blog.naver.com/sntu2010/223076334927</x:v>
      </x:c>
      <x:c r="P6" s="112" t="str">
        <x:v>아니오</x:v>
      </x:c>
      <x:c r="Q6" s="113" t="str">
        <x:v>자동 분류·표본 검토 대상</x:v>
      </x:c>
    </x:row>
    <x:row r="7">
      <x:c r="A7" s="100" t="n">
        <x:v>6</x:v>
      </x:c>
      <x:c r="B7" s="101" t="n">
        <x:v>45032</x:v>
      </x:c>
      <x:c r="C7" s="102" t="n">
        <x:v>2023</x:v>
      </x:c>
      <x:c r="D7" s="103" t="str">
        <x:v>ID-223076332577</x:v>
      </x:c>
      <x:c r="E7" s="112" t="str">
        <x:v>[펌]장문, 뇌피셜) 남성향 웹소설 장르별 미래전망</x:v>
      </x:c>
      <x:c r="F7" s="112" t="str">
        <x:v>웹소작법</x:v>
      </x:c>
      <x:c r="G7" s="112" t="str">
        <x:v>웹소설 직접</x:v>
      </x:c>
      <x:c r="H7" s="112" t="str">
        <x:v>작법·상업성</x:v>
      </x:c>
      <x:c r="I7" s="112" t="n">
        <x:v>28</x:v>
      </x:c>
      <x:c r="J7" s="112" t="str">
        <x:v>장르, 재미, 작법</x:v>
      </x:c>
      <x:c r="K7" s="112" t="str">
        <x:v>재게시</x:v>
      </x:c>
      <x:c r="L7" s="112" t="str">
        <x:v>높음</x:v>
      </x:c>
      <x:c r="M7" s="112" t="str">
        <x:v>제목의 펌/퍼옴 표시</x:v>
      </x:c>
      <x:c r="N7" s="116" t="str">
        <x:v>https://gall.dcinside.com/mgallery/board/view/?id=tgijjdd&amp;no=776788</x:v>
      </x:c>
      <x:c r="O7" s="116" t="str">
        <x:v>https://m.blog.naver.com/sntu2010/223076332577</x:v>
      </x:c>
      <x:c r="P7" s="112" t="str">
        <x:v>예</x:v>
      </x:c>
      <x:c r="Q7" s="113" t="str">
        <x:v>자동 분류·표본 검토 대상</x:v>
      </x:c>
    </x:row>
    <x:row r="8">
      <x:c r="A8" s="100" t="n">
        <x:v>7</x:v>
      </x:c>
      <x:c r="B8" s="101" t="n">
        <x:v>45032</x:v>
      </x:c>
      <x:c r="C8" s="102" t="n">
        <x:v>2023</x:v>
      </x:c>
      <x:c r="D8" s="103" t="str">
        <x:v>ID-223076331982</x:v>
      </x:c>
      <x:c r="E8" s="112" t="str">
        <x:v>[펌]헌터물을 쓰면 고려해야 하는 부분</x:v>
      </x:c>
      <x:c r="F8" s="112" t="str">
        <x:v>웹소작법</x:v>
      </x:c>
      <x:c r="G8" s="112" t="str">
        <x:v>웹소설 직접</x:v>
      </x:c>
      <x:c r="H8" s="112" t="str">
        <x:v>초반부/연독률</x:v>
      </x:c>
      <x:c r="I8" s="112" t="n">
        <x:v>7</x:v>
      </x:c>
      <x:c r="J8" s="112" t="str">
        <x:v>초반, 유료화, 유입</x:v>
      </x:c>
      <x:c r="K8" s="112" t="str">
        <x:v>재게시</x:v>
      </x:c>
      <x:c r="L8" s="112" t="str">
        <x:v>높음</x:v>
      </x:c>
      <x:c r="M8" s="112" t="str">
        <x:v>제목의 펌/퍼옴 표시</x:v>
      </x:c>
      <x:c r="N8" s="116" t="str">
        <x:v>https://gall.dcinside.com/mgallery/board/view/?id=tgijjdd&amp;no=769914</x:v>
      </x:c>
      <x:c r="O8" s="116" t="str">
        <x:v>https://m.blog.naver.com/sntu2010/223076331982</x:v>
      </x:c>
      <x:c r="P8" s="112" t="str">
        <x:v>예</x:v>
      </x:c>
      <x:c r="Q8" s="113" t="str">
        <x:v>자동 분류·표본 검토 대상</x:v>
      </x:c>
    </x:row>
    <x:row r="9">
      <x:c r="A9" s="100" t="n">
        <x:v>8</x:v>
      </x:c>
      <x:c r="B9" s="101" t="n">
        <x:v>45032</x:v>
      </x:c>
      <x:c r="C9" s="102" t="n">
        <x:v>2023</x:v>
      </x:c>
      <x:c r="D9" s="103" t="str">
        <x:v>ID-223076327286</x:v>
      </x:c>
      <x:c r="E9" s="112" t="str">
        <x:v>[펌]플롯 짜는 실전 팁</x:v>
      </x:c>
      <x:c r="F9" s="112" t="str">
        <x:v>웹소작법</x:v>
      </x:c>
      <x:c r="G9" s="112" t="str">
        <x:v>웹소설 직접</x:v>
      </x:c>
      <x:c r="H9" s="112" t="str">
        <x:v>캐릭터·전개</x:v>
      </x:c>
      <x:c r="I9" s="112" t="n">
        <x:v>28</x:v>
      </x:c>
      <x:c r="J9" s="112" t="str">
        <x:v>플롯, 에피소드, 주인공, 사건, 전개</x:v>
      </x:c>
      <x:c r="K9" s="112" t="str">
        <x:v>재게시</x:v>
      </x:c>
      <x:c r="L9" s="112" t="str">
        <x:v>높음</x:v>
      </x:c>
      <x:c r="M9" s="112" t="str">
        <x:v>제목의 펌/퍼옴 표시</x:v>
      </x:c>
      <x:c r="N9" s="116" t="str">
        <x:v>https://gall.dcinside.com/mgallery/board/view/?id=tgijjdd&amp;no=735058&amp;exception_mode=recommend&amp;page=9</x:v>
      </x:c>
      <x:c r="O9" s="116" t="str">
        <x:v>https://m.blog.naver.com/sntu2010/223076327286</x:v>
      </x:c>
      <x:c r="P9" s="112" t="str">
        <x:v>예</x:v>
      </x:c>
      <x:c r="Q9" s="113" t="str">
        <x:v>자동 분류·표본 검토 대상</x:v>
      </x:c>
    </x:row>
    <x:row r="10">
      <x:c r="A10" s="100" t="n">
        <x:v>9</x:v>
      </x:c>
      <x:c r="B10" s="101" t="n">
        <x:v>45032</x:v>
      </x:c>
      <x:c r="C10" s="102" t="n">
        <x:v>2023</x:v>
      </x:c>
      <x:c r="D10" s="103" t="str">
        <x:v>ID-223076325856</x:v>
      </x:c>
      <x:c r="E10" s="112" t="str">
        <x:v>[펌]오랜만에 돌아온, 내가 플롯짜는 방법 (스압)</x:v>
      </x:c>
      <x:c r="F10" s="112" t="str">
        <x:v>웹소작법</x:v>
      </x:c>
      <x:c r="G10" s="112" t="str">
        <x:v>웹소설 직접</x:v>
      </x:c>
      <x:c r="H10" s="112" t="str">
        <x:v>캐릭터·전개</x:v>
      </x:c>
      <x:c r="I10" s="112" t="n">
        <x:v>28</x:v>
      </x:c>
      <x:c r="J10" s="112" t="str">
        <x:v>플롯, 에피소드, 주인공</x:v>
      </x:c>
      <x:c r="K10" s="112" t="str">
        <x:v>재게시</x:v>
      </x:c>
      <x:c r="L10" s="112" t="str">
        <x:v>높음</x:v>
      </x:c>
      <x:c r="M10" s="112" t="str">
        <x:v>제목의 펌/퍼옴 표시</x:v>
      </x:c>
      <x:c r="N10" s="116" t="str">
        <x:v>https://gall.dcinside.com/mgallery/board/view/?id=tgijjdd&amp;no=747727&amp;exception_mode=recommend&amp;search_head=30&amp;page=1</x:v>
      </x:c>
      <x:c r="O10" s="116" t="str">
        <x:v>https://m.blog.naver.com/sntu2010/223076325856</x:v>
      </x:c>
      <x:c r="P10" s="112" t="str">
        <x:v>예</x:v>
      </x:c>
      <x:c r="Q10" s="113" t="str">
        <x:v>자동 분류·표본 검토 대상</x:v>
      </x:c>
    </x:row>
    <x:row r="11">
      <x:c r="A11" s="100" t="n">
        <x:v>10</x:v>
      </x:c>
      <x:c r="B11" s="101" t="n">
        <x:v>45032</x:v>
      </x:c>
      <x:c r="C11" s="102" t="n">
        <x:v>2023</x:v>
      </x:c>
      <x:c r="D11" s="103" t="str">
        <x:v>ID-223076325336</x:v>
      </x:c>
      <x:c r="E11" s="112" t="str">
        <x:v>[펌]글쓰기의 기본 세번째(노경찬 작가님)</x:v>
      </x:c>
      <x:c r="F11" s="112" t="str">
        <x:v>웹소작법</x:v>
      </x:c>
      <x:c r="G11" s="112" t="str">
        <x:v>웹소설 직접</x:v>
      </x:c>
      <x:c r="H11" s="112" t="str">
        <x:v>작법·상업성</x:v>
      </x:c>
      <x:c r="I11" s="112" t="n">
        <x:v>24</x:v>
      </x:c>
      <x:c r="J11" s="112" t="str">
        <x:v>글쓰기, 기대감, 재미, 작법</x:v>
      </x:c>
      <x:c r="K11" s="112" t="str">
        <x:v>재게시</x:v>
      </x:c>
      <x:c r="L11" s="112" t="str">
        <x:v>높음</x:v>
      </x:c>
      <x:c r="M11" s="112" t="str">
        <x:v>제목의 펌/퍼옴 표시</x:v>
      </x:c>
      <x:c r="N11" s="116" t="str">
        <x:v>https://gall.dcinside.com/mgallery/board/view/?id=tgijjdd&amp;no=739284&amp;exception_mode=recommend&amp;search_head=30&amp;page=1</x:v>
      </x:c>
      <x:c r="O11" s="116" t="str">
        <x:v>https://m.blog.naver.com/sntu2010/223076325336</x:v>
      </x:c>
      <x:c r="P11" s="112" t="str">
        <x:v>예</x:v>
      </x:c>
      <x:c r="Q11" s="113" t="str">
        <x:v>자동 분류·표본 검토 대상</x:v>
      </x:c>
    </x:row>
    <x:row r="12">
      <x:c r="A12" s="100" t="n">
        <x:v>11</x:v>
      </x:c>
      <x:c r="B12" s="101" t="n">
        <x:v>45032</x:v>
      </x:c>
      <x:c r="C12" s="102" t="n">
        <x:v>2023</x:v>
      </x:c>
      <x:c r="D12" s="103" t="str">
        <x:v>ID-223076324498</x:v>
      </x:c>
      <x:c r="E12" s="112" t="str">
        <x:v>[펌]웹소설 쉽게 쓰는 법(남희성 작가님)</x:v>
      </x:c>
      <x:c r="F12" s="112" t="str">
        <x:v>웹소작법</x:v>
      </x:c>
      <x:c r="G12" s="112" t="str">
        <x:v>웹소설 직접</x:v>
      </x:c>
      <x:c r="H12" s="112" t="str">
        <x:v>작법·상업성</x:v>
      </x:c>
      <x:c r="I12" s="112" t="n">
        <x:v>8</x:v>
      </x:c>
      <x:c r="J12" s="112" t="str">
        <x:v>재미, 소재, 대리만족, 작법</x:v>
      </x:c>
      <x:c r="K12" s="112" t="str">
        <x:v>재게시</x:v>
      </x:c>
      <x:c r="L12" s="112" t="str">
        <x:v>높음</x:v>
      </x:c>
      <x:c r="M12" s="112" t="str">
        <x:v>제목의 펌/퍼옴 표시</x:v>
      </x:c>
      <x:c r="N12" s="116" t="str">
        <x:v>https://gall.dcinside.com/mgallery/board/view/?id=tgijjdd&amp;no=738635&amp;exception_mode=recommend&amp;search_head=30&amp;page=1</x:v>
      </x:c>
      <x:c r="O12" s="116" t="str">
        <x:v>https://m.blog.naver.com/sntu2010/223076324498</x:v>
      </x:c>
      <x:c r="P12" s="112" t="str">
        <x:v>예</x:v>
      </x:c>
      <x:c r="Q12" s="113" t="str">
        <x:v>자동 분류·표본 검토 대상</x:v>
      </x:c>
    </x:row>
    <x:row r="13">
      <x:c r="A13" s="100" t="n">
        <x:v>12</x:v>
      </x:c>
      <x:c r="B13" s="101" t="n">
        <x:v>45032</x:v>
      </x:c>
      <x:c r="C13" s="102" t="n">
        <x:v>2023</x:v>
      </x:c>
      <x:c r="D13" s="103" t="str">
        <x:v>ID-223076323856</x:v>
      </x:c>
      <x:c r="E13" s="112" t="str">
        <x:v>[펌]캐빨에대해서</x:v>
      </x:c>
      <x:c r="F13" s="112" t="str">
        <x:v>웹소작법</x:v>
      </x:c>
      <x:c r="G13" s="112" t="str">
        <x:v>웹소설 직접</x:v>
      </x:c>
      <x:c r="H13" s="112" t="str">
        <x:v>캐릭터·전개</x:v>
      </x:c>
      <x:c r="I13" s="112" t="n">
        <x:v>8</x:v>
      </x:c>
      <x:c r="J13" s="112" t="str">
        <x:v>주인공, 히로인, 관계, 캐릭터</x:v>
      </x:c>
      <x:c r="K13" s="112" t="str">
        <x:v>재게시</x:v>
      </x:c>
      <x:c r="L13" s="112" t="str">
        <x:v>높음</x:v>
      </x:c>
      <x:c r="M13" s="112" t="str">
        <x:v>제목의 펌/퍼옴 표시</x:v>
      </x:c>
      <x:c r="N13" s="116" t="str">
        <x:v>https://gall.dcinside.com/mgallery/board/view/?id=tgijjdd&amp;no=729740&amp;exception_mode=recommend&amp;page=10</x:v>
      </x:c>
      <x:c r="O13" s="116" t="str">
        <x:v>https://m.blog.naver.com/sntu2010/223076323856</x:v>
      </x:c>
      <x:c r="P13" s="112" t="str">
        <x:v>예</x:v>
      </x:c>
      <x:c r="Q13" s="113" t="str">
        <x:v>자동 분류·표본 검토 대상</x:v>
      </x:c>
    </x:row>
    <x:row r="14">
      <x:c r="A14" s="100" t="n">
        <x:v>13</x:v>
      </x:c>
      <x:c r="B14" s="101" t="n">
        <x:v>45009</x:v>
      </x:c>
      <x:c r="C14" s="102" t="n">
        <x:v>2023</x:v>
      </x:c>
      <x:c r="D14" s="103" t="str">
        <x:v>ID-223054317629</x:v>
      </x:c>
      <x:c r="E14" s="112" t="str">
        <x:v>인공지능을 이용해서 글 쓰는 방법</x:v>
      </x:c>
      <x:c r="F14" s="112" t="str">
        <x:v>웹소생각</x:v>
      </x:c>
      <x:c r="G14" s="112" t="str">
        <x:v>웹소설 직접</x:v>
      </x:c>
      <x:c r="H14" s="112" t="str">
        <x:v>캐릭터·전개</x:v>
      </x:c>
      <x:c r="I14" s="112" t="n">
        <x:v>2</x:v>
      </x:c>
      <x:c r="J14" s="112" t="str">
        <x:v>주인공</x:v>
      </x:c>
      <x:c r="K14" s="112" t="str">
        <x:v>본인 작성/의견 추정</x:v>
      </x:c>
      <x:c r="L14" s="112" t="str">
        <x:v>낮음</x:v>
      </x:c>
      <x:c r="M14" s="112" t="str">
        <x:v>재게시 표시는 없으나 저자성 직접 증거 부족</x:v>
      </x:c>
      <x:c r="N14" s="116" t="str"/>
      <x:c r="O14" s="116" t="str">
        <x:v>https://m.blog.naver.com/sntu2010/223054317629</x:v>
      </x:c>
      <x:c r="P14" s="112" t="str">
        <x:v>아니오</x:v>
      </x:c>
      <x:c r="Q14" s="113" t="str">
        <x:v>수동 검토 필요</x:v>
      </x:c>
    </x:row>
    <x:row r="15">
      <x:c r="A15" s="100" t="n">
        <x:v>14</x:v>
      </x:c>
      <x:c r="B15" s="101" t="n">
        <x:v>44970</x:v>
      </x:c>
      <x:c r="C15" s="102" t="n">
        <x:v>2023</x:v>
      </x:c>
      <x:c r="D15" s="103" t="str">
        <x:v>ID-223014109626</x:v>
      </x:c>
      <x:c r="E15" s="112" t="str">
        <x:v>글 쓰기를 도와주는 인공지능이 있다?</x:v>
      </x:c>
      <x:c r="F15" s="112" t="str">
        <x:v>웹소생각</x:v>
      </x:c>
      <x:c r="G15" s="112" t="str">
        <x:v>웹소설 직접</x:v>
      </x:c>
      <x:c r="H15" s="112" t="str">
        <x:v>기타/검토</x:v>
      </x:c>
      <x:c r="I15" s="112" t="n">
        <x:v>0</x:v>
      </x:c>
      <x:c r="J15" s="112" t="str"/>
      <x:c r="K15" s="112" t="str">
        <x:v>본인 작성/의견 추정</x:v>
      </x:c>
      <x:c r="L15" s="112" t="str">
        <x:v>낮음</x:v>
      </x:c>
      <x:c r="M15" s="112" t="str">
        <x:v>재게시 표시는 없으나 저자성 직접 증거 부족</x:v>
      </x:c>
      <x:c r="N15" s="116" t="str"/>
      <x:c r="O15" s="116" t="str">
        <x:v>https://m.blog.naver.com/sntu2010/223014109626</x:v>
      </x:c>
      <x:c r="P15" s="112" t="str">
        <x:v>아니오</x:v>
      </x:c>
      <x:c r="Q15" s="113" t="str">
        <x:v>수동 검토 필요</x:v>
      </x:c>
    </x:row>
    <x:row r="16">
      <x:c r="A16" s="100" t="n">
        <x:v>15</x:v>
      </x:c>
      <x:c r="B16" s="101" t="n">
        <x:v>44900</x:v>
      </x:c>
      <x:c r="C16" s="102" t="n">
        <x:v>2022</x:v>
      </x:c>
      <x:c r="D16" s="103" t="str">
        <x:v>ID-222947151111</x:v>
      </x:c>
      <x:c r="E16" s="112" t="str">
        <x:v>[펌]초보 작가는 왜 연독을 유지하지 못하는가</x:v>
      </x:c>
      <x:c r="F16" s="112" t="str">
        <x:v>웹소작법</x:v>
      </x:c>
      <x:c r="G16" s="112" t="str">
        <x:v>웹소설 직접</x:v>
      </x:c>
      <x:c r="H16" s="112" t="str">
        <x:v>초반부/연독률</x:v>
      </x:c>
      <x:c r="I16" s="112" t="n">
        <x:v>20</x:v>
      </x:c>
      <x:c r="J16" s="112" t="str">
        <x:v>연독</x:v>
      </x:c>
      <x:c r="K16" s="112" t="str">
        <x:v>재게시</x:v>
      </x:c>
      <x:c r="L16" s="112" t="str">
        <x:v>높음</x:v>
      </x:c>
      <x:c r="M16" s="112" t="str">
        <x:v>제목의 펌/퍼옴 표시</x:v>
      </x:c>
      <x:c r="N16" s="116" t="str">
        <x:v>https://gall.dcinside.com/mgallery/board/view/?id=tgijjdd&amp;no=708575&amp;exception_mode=recommend&amp;search_head=30&amp;page=1</x:v>
      </x:c>
      <x:c r="O16" s="116" t="str">
        <x:v>https://m.blog.naver.com/sntu2010/222947151111</x:v>
      </x:c>
      <x:c r="P16" s="112" t="str">
        <x:v>예</x:v>
      </x:c>
      <x:c r="Q16" s="113" t="str">
        <x:v>자동 분류·표본 검토 대상</x:v>
      </x:c>
    </x:row>
    <x:row r="17">
      <x:c r="A17" s="100" t="n">
        <x:v>16</x:v>
      </x:c>
      <x:c r="B17" s="101" t="n">
        <x:v>44900</x:v>
      </x:c>
      <x:c r="C17" s="102" t="n">
        <x:v>2022</x:v>
      </x:c>
      <x:c r="D17" s="103" t="str">
        <x:v>ID-222947150338</x:v>
      </x:c>
      <x:c r="E17" s="112" t="str">
        <x:v>[펌]듣보 5년차 기성 팁 짤막정리</x:v>
      </x:c>
      <x:c r="F17" s="112" t="str">
        <x:v>웹소작법</x:v>
      </x:c>
      <x:c r="G17" s="112" t="str">
        <x:v>웹소설 직접</x:v>
      </x:c>
      <x:c r="H17" s="112" t="str">
        <x:v>캐릭터·전개</x:v>
      </x:c>
      <x:c r="I17" s="112" t="n">
        <x:v>3</x:v>
      </x:c>
      <x:c r="J17" s="112" t="str">
        <x:v>주인공</x:v>
      </x:c>
      <x:c r="K17" s="112" t="str">
        <x:v>재게시</x:v>
      </x:c>
      <x:c r="L17" s="112" t="str">
        <x:v>높음</x:v>
      </x:c>
      <x:c r="M17" s="112" t="str">
        <x:v>제목의 펌/퍼옴 표시</x:v>
      </x:c>
      <x:c r="N17" s="116" t="str">
        <x:v>https://gall.dcinside.com/mgallery/board/view/?id=tgijjdd&amp;no=704768&amp;exception_mode=recommend&amp;search_head=30&amp;page=1</x:v>
      </x:c>
      <x:c r="O17" s="116" t="str">
        <x:v>https://m.blog.naver.com/sntu2010/222947150338</x:v>
      </x:c>
      <x:c r="P17" s="112" t="str">
        <x:v>아니오</x:v>
      </x:c>
      <x:c r="Q17" s="113" t="str">
        <x:v>자동 분류·표본 검토 대상</x:v>
      </x:c>
    </x:row>
    <x:row r="18">
      <x:c r="A18" s="100" t="n">
        <x:v>17</x:v>
      </x:c>
      <x:c r="B18" s="101" t="n">
        <x:v>44900</x:v>
      </x:c>
      <x:c r="C18" s="102" t="n">
        <x:v>2022</x:v>
      </x:c>
      <x:c r="D18" s="103" t="str">
        <x:v>ID-222947149332</x:v>
      </x:c>
      <x:c r="E18" s="112" t="str">
        <x:v>[펌]악역을 보면 주제가 보이지</x:v>
      </x:c>
      <x:c r="F18" s="112" t="str">
        <x:v>웹소작법</x:v>
      </x:c>
      <x:c r="G18" s="112" t="str">
        <x:v>웹소설 직접</x:v>
      </x:c>
      <x:c r="H18" s="112" t="str">
        <x:v>캐릭터·전개</x:v>
      </x:c>
      <x:c r="I18" s="112" t="n">
        <x:v>22</x:v>
      </x:c>
      <x:c r="J18" s="112" t="str">
        <x:v>악역, 인물</x:v>
      </x:c>
      <x:c r="K18" s="112" t="str">
        <x:v>재게시</x:v>
      </x:c>
      <x:c r="L18" s="112" t="str">
        <x:v>높음</x:v>
      </x:c>
      <x:c r="M18" s="112" t="str">
        <x:v>제목의 펌/퍼옴 표시</x:v>
      </x:c>
      <x:c r="N18" s="116" t="str">
        <x:v>https://gall.dcinside.com/mgallery/board/view/?id=tgijjdd&amp;no=703303&amp;exception_mode=recommend&amp;search_head=30&amp;page=1</x:v>
      </x:c>
      <x:c r="O18" s="116" t="str">
        <x:v>https://m.blog.naver.com/sntu2010/222947149332</x:v>
      </x:c>
      <x:c r="P18" s="112" t="str">
        <x:v>예</x:v>
      </x:c>
      <x:c r="Q18" s="113" t="str">
        <x:v>자동 분류·표본 검토 대상</x:v>
      </x:c>
    </x:row>
    <x:row r="19">
      <x:c r="A19" s="100" t="n">
        <x:v>18</x:v>
      </x:c>
      <x:c r="B19" s="101" t="n">
        <x:v>44900</x:v>
      </x:c>
      <x:c r="C19" s="102" t="n">
        <x:v>2022</x:v>
      </x:c>
      <x:c r="D19" s="103" t="str">
        <x:v>ID-222947146722</x:v>
      </x:c>
      <x:c r="E19" s="112" t="str">
        <x:v>[펌]네이버 단어사전 미세먼지 팁</x:v>
      </x:c>
      <x:c r="F19" s="112" t="str">
        <x:v>웹소작법</x:v>
      </x:c>
      <x:c r="G19" s="112" t="str">
        <x:v>웹소설 직접</x:v>
      </x:c>
      <x:c r="H19" s="112" t="str">
        <x:v>플랫폼·투고·계약</x:v>
      </x:c>
      <x:c r="I19" s="112" t="n">
        <x:v>20</x:v>
      </x:c>
      <x:c r="J19" s="112" t="str">
        <x:v>네이버</x:v>
      </x:c>
      <x:c r="K19" s="112" t="str">
        <x:v>재게시</x:v>
      </x:c>
      <x:c r="L19" s="112" t="str">
        <x:v>높음</x:v>
      </x:c>
      <x:c r="M19" s="112" t="str">
        <x:v>제목의 펌/퍼옴 표시</x:v>
      </x:c>
      <x:c r="N19" s="116" t="str">
        <x:v>https://gall.dcinside.com/mgallery/board/view/?id=tgijjdd&amp;no=697548&amp;exception_mode=recommend&amp;search_head=30&amp;page=1</x:v>
      </x:c>
      <x:c r="O19" s="116" t="str">
        <x:v>https://m.blog.naver.com/sntu2010/222947146722</x:v>
      </x:c>
      <x:c r="P19" s="112" t="str">
        <x:v>예</x:v>
      </x:c>
      <x:c r="Q19" s="113" t="str">
        <x:v>자동 분류·표본 검토 대상</x:v>
      </x:c>
    </x:row>
    <x:row r="20">
      <x:c r="A20" s="100" t="n">
        <x:v>19</x:v>
      </x:c>
      <x:c r="B20" s="101" t="n">
        <x:v>44900</x:v>
      </x:c>
      <x:c r="C20" s="102" t="n">
        <x:v>2022</x:v>
      </x:c>
      <x:c r="D20" s="103" t="str">
        <x:v>ID-222947145138</x:v>
      </x:c>
      <x:c r="E20" s="112" t="str">
        <x:v>[펌]소설을 웹툰으로 각색할 때 팁</x:v>
      </x:c>
      <x:c r="F20" s="112" t="str">
        <x:v>웹툰작법</x:v>
      </x:c>
      <x:c r="G20" s="112" t="str">
        <x:v>웹툰 참고</x:v>
      </x:c>
      <x:c r="H20" s="112" t="str">
        <x:v>캐릭터·전개</x:v>
      </x:c>
      <x:c r="I20" s="112" t="n">
        <x:v>2</x:v>
      </x:c>
      <x:c r="J20" s="112" t="str">
        <x:v>대사</x:v>
      </x:c>
      <x:c r="K20" s="112" t="str">
        <x:v>재게시</x:v>
      </x:c>
      <x:c r="L20" s="112" t="str">
        <x:v>높음</x:v>
      </x:c>
      <x:c r="M20" s="112" t="str">
        <x:v>제목의 펌/퍼옴 표시</x:v>
      </x:c>
      <x:c r="N20" s="116" t="str">
        <x:v>https://gall.dcinside.com/mgallery/board/view/?id=tgijjdd&amp;no=692895&amp;exception_mode=recommend&amp;search_head=30&amp;page=1</x:v>
      </x:c>
      <x:c r="O20" s="116" t="str">
        <x:v>https://m.blog.naver.com/sntu2010/222947145138</x:v>
      </x:c>
      <x:c r="P20" s="112" t="str">
        <x:v>아니오</x:v>
      </x:c>
      <x:c r="Q20" s="113" t="str">
        <x:v>자동 분류·표본 검토 대상</x:v>
      </x:c>
    </x:row>
    <x:row r="21">
      <x:c r="A21" s="100" t="n">
        <x:v>20</x:v>
      </x:c>
      <x:c r="B21" s="101" t="n">
        <x:v>44900</x:v>
      </x:c>
      <x:c r="C21" s="102" t="n">
        <x:v>2022</x:v>
      </x:c>
      <x:c r="D21" s="103" t="str">
        <x:v>ID-222947144336</x:v>
      </x:c>
      <x:c r="E21" s="112" t="str">
        <x:v>[펌]웹연갤 유동(121.64) 미세나노 팁 모음집</x:v>
      </x:c>
      <x:c r="F21" s="112" t="str">
        <x:v>웹소작법</x:v>
      </x:c>
      <x:c r="G21" s="112" t="str">
        <x:v>웹소설 직접</x:v>
      </x:c>
      <x:c r="H21" s="112" t="str">
        <x:v>캐릭터·전개</x:v>
      </x:c>
      <x:c r="I21" s="112" t="n">
        <x:v>8</x:v>
      </x:c>
      <x:c r="J21" s="112" t="str">
        <x:v>캐릭터, 주인공, 전개, 대사</x:v>
      </x:c>
      <x:c r="K21" s="112" t="str">
        <x:v>재게시</x:v>
      </x:c>
      <x:c r="L21" s="112" t="str">
        <x:v>높음</x:v>
      </x:c>
      <x:c r="M21" s="112" t="str">
        <x:v>제목의 펌/퍼옴 표시</x:v>
      </x:c>
      <x:c r="N21" s="116" t="str">
        <x:v>https://gall.dcinside.com/mgallery/board/view/?id=tgijjdd&amp;no=689660&amp;exception_mode=recommend&amp;search_head=30&amp;page=1</x:v>
      </x:c>
      <x:c r="O21" s="116" t="str">
        <x:v>https://m.blog.naver.com/sntu2010/222947144336</x:v>
      </x:c>
      <x:c r="P21" s="112" t="str">
        <x:v>예</x:v>
      </x:c>
      <x:c r="Q21" s="113" t="str">
        <x:v>자동 분류·표본 검토 대상</x:v>
      </x:c>
    </x:row>
    <x:row r="22">
      <x:c r="A22" s="100" t="n">
        <x:v>21</x:v>
      </x:c>
      <x:c r="B22" s="101" t="n">
        <x:v>44900</x:v>
      </x:c>
      <x:c r="C22" s="102" t="n">
        <x:v>2022</x:v>
      </x:c>
      <x:c r="D22" s="103" t="str">
        <x:v>ID-222947143654</x:v>
      </x:c>
      <x:c r="E22" s="112" t="str">
        <x:v>[펌]뜬금없이 올리는 미세나노 팁 3가지.tip</x:v>
      </x:c>
      <x:c r="F22" s="112" t="str">
        <x:v>웹소작법</x:v>
      </x:c>
      <x:c r="G22" s="112" t="str">
        <x:v>웹소설 직접</x:v>
      </x:c>
      <x:c r="H22" s="112" t="str">
        <x:v>작법·상업성</x:v>
      </x:c>
      <x:c r="I22" s="112" t="n">
        <x:v>5</x:v>
      </x:c>
      <x:c r="J22" s="112" t="str">
        <x:v>흥행, 문장, 작법</x:v>
      </x:c>
      <x:c r="K22" s="112" t="str">
        <x:v>재게시</x:v>
      </x:c>
      <x:c r="L22" s="112" t="str">
        <x:v>높음</x:v>
      </x:c>
      <x:c r="M22" s="112" t="str">
        <x:v>제목의 펌/퍼옴 표시</x:v>
      </x:c>
      <x:c r="N22" s="116" t="str">
        <x:v>https://gall.dcinside.com/mgallery/board/view/?id=tgijjdd&amp;no=688004&amp;exception_mode=recommend&amp;search_head=30&amp;page=1</x:v>
      </x:c>
      <x:c r="O22" s="116" t="str">
        <x:v>https://m.blog.naver.com/sntu2010/222947143654</x:v>
      </x:c>
      <x:c r="P22" s="112" t="str">
        <x:v>아니오</x:v>
      </x:c>
      <x:c r="Q22" s="113" t="str">
        <x:v>자동 분류·표본 검토 대상</x:v>
      </x:c>
    </x:row>
    <x:row r="23">
      <x:c r="A23" s="100" t="n">
        <x:v>22</x:v>
      </x:c>
      <x:c r="B23" s="101" t="n">
        <x:v>44900</x:v>
      </x:c>
      <x:c r="C23" s="102" t="n">
        <x:v>2022</x:v>
      </x:c>
      <x:c r="D23" s="103" t="str">
        <x:v>ID-222947139437</x:v>
      </x:c>
      <x:c r="E23" s="112" t="str">
        <x:v>[펌]간간히 모은 웹연갤 팁글 올려봄니다</x:v>
      </x:c>
      <x:c r="F23" s="112" t="str">
        <x:v>웹소작법</x:v>
      </x:c>
      <x:c r="G23" s="112" t="str">
        <x:v>웹소설 직접</x:v>
      </x:c>
      <x:c r="H23" s="112" t="str">
        <x:v>캐릭터·전개</x:v>
      </x:c>
      <x:c r="I23" s="112" t="n">
        <x:v>6</x:v>
      </x:c>
      <x:c r="J23" s="112" t="str">
        <x:v>캐릭터, 전개</x:v>
      </x:c>
      <x:c r="K23" s="112" t="str">
        <x:v>재게시</x:v>
      </x:c>
      <x:c r="L23" s="112" t="str">
        <x:v>높음</x:v>
      </x:c>
      <x:c r="M23" s="112" t="str">
        <x:v>제목의 펌/퍼옴 표시</x:v>
      </x:c>
      <x:c r="N23" s="116" t="str">
        <x:v>https://gall.dcinside.com/mgallery/board/view/?id=tgijjdd&amp;no=686789&amp;exception_mode=recommend&amp;search_head=30&amp;page=1</x:v>
      </x:c>
      <x:c r="O23" s="116" t="str">
        <x:v>https://m.blog.naver.com/sntu2010/222947139437</x:v>
      </x:c>
      <x:c r="P23" s="112" t="str">
        <x:v>예</x:v>
      </x:c>
      <x:c r="Q23" s="113" t="str">
        <x:v>자동 분류·표본 검토 대상</x:v>
      </x:c>
    </x:row>
    <x:row r="24">
      <x:c r="A24" s="100" t="n">
        <x:v>23</x:v>
      </x:c>
      <x:c r="B24" s="101" t="n">
        <x:v>44900</x:v>
      </x:c>
      <x:c r="C24" s="102" t="n">
        <x:v>2022</x:v>
      </x:c>
      <x:c r="D24" s="103" t="str">
        <x:v>ID-222947137604</x:v>
      </x:c>
      <x:c r="E24" s="112" t="str">
        <x:v>[펌]웹연갤 하다가 모은 유동팁모음</x:v>
      </x:c>
      <x:c r="F24" s="112" t="str">
        <x:v>웹소작법</x:v>
      </x:c>
      <x:c r="G24" s="112" t="str">
        <x:v>웹소설 직접</x:v>
      </x:c>
      <x:c r="H24" s="112" t="str">
        <x:v>작법·상업성</x:v>
      </x:c>
      <x:c r="I24" s="112" t="n">
        <x:v>8</x:v>
      </x:c>
      <x:c r="J24" s="112" t="str">
        <x:v>문장, 재미, 작법</x:v>
      </x:c>
      <x:c r="K24" s="112" t="str">
        <x:v>재게시</x:v>
      </x:c>
      <x:c r="L24" s="112" t="str">
        <x:v>높음</x:v>
      </x:c>
      <x:c r="M24" s="112" t="str">
        <x:v>제목의 펌/퍼옴 표시</x:v>
      </x:c>
      <x:c r="N24" s="116" t="str">
        <x:v>https://gall.dcinside.com/mgallery/board/view/?id=tgijjdd&amp;no=679275&amp;exception_mode=recommend&amp;search_head=30&amp;page=1</x:v>
      </x:c>
      <x:c r="O24" s="116" t="str">
        <x:v>https://m.blog.naver.com/sntu2010/222947137604</x:v>
      </x:c>
      <x:c r="P24" s="112" t="str">
        <x:v>예</x:v>
      </x:c>
      <x:c r="Q24" s="113" t="str">
        <x:v>자동 분류·표본 검토 대상</x:v>
      </x:c>
    </x:row>
    <x:row r="25">
      <x:c r="A25" s="100" t="n">
        <x:v>24</x:v>
      </x:c>
      <x:c r="B25" s="101" t="n">
        <x:v>44900</x:v>
      </x:c>
      <x:c r="C25" s="102" t="n">
        <x:v>2022</x:v>
      </x:c>
      <x:c r="D25" s="103" t="str">
        <x:v>ID-222947136683</x:v>
      </x:c>
      <x:c r="E25" s="112" t="str">
        <x:v>[펌]웹연갤 하면서 모은 지나가던 유동팁 모음</x:v>
      </x:c>
      <x:c r="F25" s="112" t="str">
        <x:v>웹소작법</x:v>
      </x:c>
      <x:c r="G25" s="112" t="str">
        <x:v>웹소설 직접</x:v>
      </x:c>
      <x:c r="H25" s="112" t="str">
        <x:v>작법·상업성</x:v>
      </x:c>
      <x:c r="I25" s="112" t="n">
        <x:v>2</x:v>
      </x:c>
      <x:c r="J25" s="112" t="str">
        <x:v>문장, 작법</x:v>
      </x:c>
      <x:c r="K25" s="112" t="str">
        <x:v>재게시</x:v>
      </x:c>
      <x:c r="L25" s="112" t="str">
        <x:v>높음</x:v>
      </x:c>
      <x:c r="M25" s="112" t="str">
        <x:v>제목의 펌/퍼옴 표시</x:v>
      </x:c>
      <x:c r="N25" s="116" t="str">
        <x:v>https://gall.dcinside.com/mgallery/board/view/?id=tgijjdd&amp;no=678033&amp;exception_mode=recommend&amp;search_head=30&amp;page=1</x:v>
      </x:c>
      <x:c r="O25" s="116" t="str">
        <x:v>https://m.blog.naver.com/sntu2010/222947136683</x:v>
      </x:c>
      <x:c r="P25" s="112" t="str">
        <x:v>아니오</x:v>
      </x:c>
      <x:c r="Q25" s="113" t="str">
        <x:v>자동 분류·표본 검토 대상</x:v>
      </x:c>
    </x:row>
    <x:row r="26">
      <x:c r="A26" s="100" t="n">
        <x:v>25</x:v>
      </x:c>
      <x:c r="B26" s="101" t="n">
        <x:v>44900</x:v>
      </x:c>
      <x:c r="C26" s="102" t="n">
        <x:v>2022</x:v>
      </x:c>
      <x:c r="D26" s="103" t="str">
        <x:v>ID-222947135787</x:v>
      </x:c>
      <x:c r="E26" s="112" t="str">
        <x:v>[펌]'말했다'를 대체할 수 있는 동사들</x:v>
      </x:c>
      <x:c r="F26" s="112" t="str">
        <x:v>웹소작법</x:v>
      </x:c>
      <x:c r="G26" s="112" t="str">
        <x:v>웹소설 직접</x:v>
      </x:c>
      <x:c r="H26" s="112" t="str">
        <x:v>작법·상업성</x:v>
      </x:c>
      <x:c r="I26" s="112" t="n">
        <x:v>1</x:v>
      </x:c>
      <x:c r="J26" s="112" t="str">
        <x:v>작법</x:v>
      </x:c>
      <x:c r="K26" s="112" t="str">
        <x:v>재게시</x:v>
      </x:c>
      <x:c r="L26" s="112" t="str">
        <x:v>높음</x:v>
      </x:c>
      <x:c r="M26" s="112" t="str">
        <x:v>제목의 펌/퍼옴 표시</x:v>
      </x:c>
      <x:c r="N26" s="116" t="str">
        <x:v>https://gall.dcinside.com/mgallery/board/view/?id=tgijjdd&amp;no=675491&amp;exception_mode=recommend&amp;search_head=30&amp;page=1</x:v>
      </x:c>
      <x:c r="O26" s="116" t="str">
        <x:v>https://m.blog.naver.com/sntu2010/222947135787</x:v>
      </x:c>
      <x:c r="P26" s="112" t="str">
        <x:v>아니오</x:v>
      </x:c>
      <x:c r="Q26" s="113" t="str">
        <x:v>자동 분류·표본 검토 대상</x:v>
      </x:c>
    </x:row>
    <x:row r="27">
      <x:c r="A27" s="100" t="n">
        <x:v>26</x:v>
      </x:c>
      <x:c r="B27" s="101" t="n">
        <x:v>44900</x:v>
      </x:c>
      <x:c r="C27" s="102" t="n">
        <x:v>2022</x:v>
      </x:c>
      <x:c r="D27" s="103" t="str">
        <x:v>ID-222947135069</x:v>
      </x:c>
      <x:c r="E27" s="112" t="str">
        <x:v>[펌] 웹연갤 팁 중 짧으면서도 강렬했다고 느낀 팁</x:v>
      </x:c>
      <x:c r="F27" s="112" t="str">
        <x:v>웹소작법</x:v>
      </x:c>
      <x:c r="G27" s="112" t="str">
        <x:v>웹소설 직접</x:v>
      </x:c>
      <x:c r="H27" s="112" t="str">
        <x:v>작법·상업성</x:v>
      </x:c>
      <x:c r="I27" s="112" t="n">
        <x:v>1</x:v>
      </x:c>
      <x:c r="J27" s="112" t="str">
        <x:v>작법</x:v>
      </x:c>
      <x:c r="K27" s="112" t="str">
        <x:v>재게시</x:v>
      </x:c>
      <x:c r="L27" s="112" t="str">
        <x:v>높음</x:v>
      </x:c>
      <x:c r="M27" s="112" t="str">
        <x:v>제목의 펌/퍼옴 표시</x:v>
      </x:c>
      <x:c r="N27" s="116" t="str">
        <x:v>https://gall.dcinside.com/mgallery/board/view/?id=tgijjdd&amp;no=672131&amp;exception_mode=recommend&amp;search_head=30&amp;page=1</x:v>
      </x:c>
      <x:c r="O27" s="116" t="str">
        <x:v>https://m.blog.naver.com/sntu2010/222947135069</x:v>
      </x:c>
      <x:c r="P27" s="112" t="str">
        <x:v>아니오</x:v>
      </x:c>
      <x:c r="Q27" s="113" t="str">
        <x:v>자동 분류·표본 검토 대상</x:v>
      </x:c>
    </x:row>
    <x:row r="28">
      <x:c r="A28" s="100" t="n">
        <x:v>27</x:v>
      </x:c>
      <x:c r="B28" s="101" t="n">
        <x:v>44900</x:v>
      </x:c>
      <x:c r="C28" s="102" t="n">
        <x:v>2022</x:v>
      </x:c>
      <x:c r="D28" s="103" t="str">
        <x:v>ID-222947132598</x:v>
      </x:c>
      <x:c r="E28" s="112" t="str">
        <x:v>[펌]위치에 따른 세 가지 기대감 팁</x:v>
      </x:c>
      <x:c r="F28" s="112" t="str">
        <x:v>웹소작법</x:v>
      </x:c>
      <x:c r="G28" s="112" t="str">
        <x:v>웹소설 직접</x:v>
      </x:c>
      <x:c r="H28" s="112" t="str">
        <x:v>작법·상업성</x:v>
      </x:c>
      <x:c r="I28" s="112" t="n">
        <x:v>27</x:v>
      </x:c>
      <x:c r="J28" s="112" t="str">
        <x:v>기대감, 작법</x:v>
      </x:c>
      <x:c r="K28" s="112" t="str">
        <x:v>재게시</x:v>
      </x:c>
      <x:c r="L28" s="112" t="str">
        <x:v>높음</x:v>
      </x:c>
      <x:c r="M28" s="112" t="str">
        <x:v>제목의 펌/퍼옴 표시</x:v>
      </x:c>
      <x:c r="N28" s="116" t="str">
        <x:v>https://gall.dcinside.com/mgallery/board/view/?id=tgijjdd&amp;no=647956&amp;exception_mode=recommend&amp;search_head=30&amp;page=1</x:v>
      </x:c>
      <x:c r="O28" s="116" t="str">
        <x:v>https://m.blog.naver.com/sntu2010/222947132598</x:v>
      </x:c>
      <x:c r="P28" s="112" t="str">
        <x:v>예</x:v>
      </x:c>
      <x:c r="Q28" s="113" t="str">
        <x:v>자동 분류·표본 검토 대상</x:v>
      </x:c>
    </x:row>
    <x:row r="29">
      <x:c r="A29" s="100" t="n">
        <x:v>28</x:v>
      </x:c>
      <x:c r="B29" s="101" t="n">
        <x:v>44760</x:v>
      </x:c>
      <x:c r="C29" s="102" t="n">
        <x:v>2022</x:v>
      </x:c>
      <x:c r="D29" s="103" t="str">
        <x:v>ID-222816858384</x:v>
      </x:c>
      <x:c r="E29" s="112" t="str">
        <x:v>[펌] 김락희 작가님 방식의 크로키를 해보자</x:v>
      </x:c>
      <x:c r="F29" s="112" t="str">
        <x:v>웹툰작법</x:v>
      </x:c>
      <x:c r="G29" s="112" t="str">
        <x:v>웹툰 참고</x:v>
      </x:c>
      <x:c r="H29" s="112" t="str">
        <x:v>작법·상업성</x:v>
      </x:c>
      <x:c r="I29" s="112" t="n">
        <x:v>1</x:v>
      </x:c>
      <x:c r="J29" s="112" t="str">
        <x:v>작법</x:v>
      </x:c>
      <x:c r="K29" s="112" t="str">
        <x:v>재게시</x:v>
      </x:c>
      <x:c r="L29" s="112" t="str">
        <x:v>높음</x:v>
      </x:c>
      <x:c r="M29" s="112" t="str">
        <x:v>제목의 펌/퍼옴 표시</x:v>
      </x:c>
      <x:c r="N29" s="116" t="str">
        <x:v>https://gall.dcinside.com/mgallery/board/view/?id=drawing&amp;no=321882&amp;exception_mode=recommend&amp;search_head=110&amp;page=1</x:v>
      </x:c>
      <x:c r="O29" s="116" t="str">
        <x:v>https://m.blog.naver.com/sntu2010/222816858384</x:v>
      </x:c>
      <x:c r="P29" s="112" t="str">
        <x:v>아니오</x:v>
      </x:c>
      <x:c r="Q29" s="113" t="str">
        <x:v>자동 분류·표본 검토 대상</x:v>
      </x:c>
    </x:row>
    <x:row r="30">
      <x:c r="A30" s="100" t="n">
        <x:v>29</x:v>
      </x:c>
      <x:c r="B30" s="101" t="n">
        <x:v>44760</x:v>
      </x:c>
      <x:c r="C30" s="102" t="n">
        <x:v>2022</x:v>
      </x:c>
      <x:c r="D30" s="103" t="str">
        <x:v>ID-222816856629</x:v>
      </x:c>
      <x:c r="E30" s="112" t="str">
        <x:v>[펌]그림뉴비 필독) 그림실력 빨리느는법</x:v>
      </x:c>
      <x:c r="F30" s="112" t="str">
        <x:v>웹툰작법</x:v>
      </x:c>
      <x:c r="G30" s="112" t="str">
        <x:v>웹툰 참고</x:v>
      </x:c>
      <x:c r="H30" s="112" t="str">
        <x:v>작법·상업성</x:v>
      </x:c>
      <x:c r="I30" s="112" t="n">
        <x:v>2</x:v>
      </x:c>
      <x:c r="J30" s="112" t="str">
        <x:v>재미, 작법</x:v>
      </x:c>
      <x:c r="K30" s="112" t="str">
        <x:v>재게시</x:v>
      </x:c>
      <x:c r="L30" s="112" t="str">
        <x:v>높음</x:v>
      </x:c>
      <x:c r="M30" s="112" t="str">
        <x:v>제목의 펌/퍼옴 표시</x:v>
      </x:c>
      <x:c r="N30" s="116" t="str">
        <x:v>https://gall.dcinside.com/mgallery/board/view/?id=drawing&amp;no=317325&amp;exception_mode=recommend&amp;search_head=110&amp;page=1</x:v>
      </x:c>
      <x:c r="O30" s="116" t="str">
        <x:v>https://m.blog.naver.com/sntu2010/222816856629</x:v>
      </x:c>
      <x:c r="P30" s="112" t="str">
        <x:v>아니오</x:v>
      </x:c>
      <x:c r="Q30" s="113" t="str">
        <x:v>자동 분류·표본 검토 대상</x:v>
      </x:c>
    </x:row>
    <x:row r="31">
      <x:c r="A31" s="100" t="n">
        <x:v>30</x:v>
      </x:c>
      <x:c r="B31" s="101" t="n">
        <x:v>44716</x:v>
      </x:c>
      <x:c r="C31" s="102" t="n">
        <x:v>2022</x:v>
      </x:c>
      <x:c r="D31" s="103" t="str">
        <x:v>ID-222758931900</x:v>
      </x:c>
      <x:c r="E31" s="112" t="str">
        <x:v>카카오페이지 '탑 오르는 용사님' 연재 시작!</x:v>
      </x:c>
      <x:c r="F31" s="112" t="str">
        <x:v>웹소생각</x:v>
      </x:c>
      <x:c r="G31" s="112" t="str">
        <x:v>웹소설 직접</x:v>
      </x:c>
      <x:c r="H31" s="112" t="str">
        <x:v>플랫폼·투고·계약</x:v>
      </x:c>
      <x:c r="I31" s="112" t="n">
        <x:v>21</x:v>
      </x:c>
      <x:c r="J31" s="112" t="str">
        <x:v>카카오</x:v>
      </x:c>
      <x:c r="K31" s="112" t="str">
        <x:v>본인 경험담 추정</x:v>
      </x:c>
      <x:c r="L31" s="112" t="str">
        <x:v>중간</x:v>
      </x:c>
      <x:c r="M31" s="112" t="str">
        <x:v>1인칭 경험·작품·계약 표현</x:v>
      </x:c>
      <x:c r="N31" s="116" t="str">
        <x:v>https://page.kakao.com/home?seriesId=59383103</x:v>
      </x:c>
      <x:c r="O31" s="116" t="str">
        <x:v>https://m.blog.naver.com/sntu2010/222758931900</x:v>
      </x:c>
      <x:c r="P31" s="112" t="str">
        <x:v>예</x:v>
      </x:c>
      <x:c r="Q31" s="113" t="str">
        <x:v>자동 분류·표본 검토 대상</x:v>
      </x:c>
    </x:row>
    <x:row r="32">
      <x:c r="A32" s="100" t="n">
        <x:v>31</x:v>
      </x:c>
      <x:c r="B32" s="101" t="n">
        <x:v>44697</x:v>
      </x:c>
      <x:c r="C32" s="102" t="n">
        <x:v>2022</x:v>
      </x:c>
      <x:c r="D32" s="103" t="str">
        <x:v>ID-222734096949</x:v>
      </x:c>
      <x:c r="E32" s="112" t="str">
        <x:v>[펌]개인적으로 인물 구성할때 팁</x:v>
      </x:c>
      <x:c r="F32" s="112" t="str">
        <x:v>웹소작법</x:v>
      </x:c>
      <x:c r="G32" s="112" t="str">
        <x:v>웹소설 직접</x:v>
      </x:c>
      <x:c r="H32" s="112" t="str">
        <x:v>캐릭터·전개</x:v>
      </x:c>
      <x:c r="I32" s="112" t="n">
        <x:v>28</x:v>
      </x:c>
      <x:c r="J32" s="112" t="str">
        <x:v>인물, 악역, 주인공, 서사, 빌런, 조연, 사건, 관계</x:v>
      </x:c>
      <x:c r="K32" s="112" t="str">
        <x:v>재게시</x:v>
      </x:c>
      <x:c r="L32" s="112" t="str">
        <x:v>높음</x:v>
      </x:c>
      <x:c r="M32" s="112" t="str">
        <x:v>제목의 펌/퍼옴 표시</x:v>
      </x:c>
      <x:c r="N32" s="116" t="str">
        <x:v>https://gall.dcinside.com/mgallery/board/view/?id=tgijjdd&amp;no=619127</x:v>
      </x:c>
      <x:c r="O32" s="116" t="str">
        <x:v>https://m.blog.naver.com/sntu2010/222734096949</x:v>
      </x:c>
      <x:c r="P32" s="112" t="str">
        <x:v>예</x:v>
      </x:c>
      <x:c r="Q32" s="113" t="str">
        <x:v>자동 분류·표본 검토 대상</x:v>
      </x:c>
    </x:row>
    <x:row r="33">
      <x:c r="A33" s="100" t="n">
        <x:v>32</x:v>
      </x:c>
      <x:c r="B33" s="101" t="n">
        <x:v>44697</x:v>
      </x:c>
      <x:c r="C33" s="102" t="n">
        <x:v>2022</x:v>
      </x:c>
      <x:c r="D33" s="103" t="str">
        <x:v>ID-222734096260</x:v>
      </x:c>
      <x:c r="E33" s="112" t="str">
        <x:v>[펌]연독률 지키는 기본적인 팁</x:v>
      </x:c>
      <x:c r="F33" s="112" t="str">
        <x:v>웹소작법</x:v>
      </x:c>
      <x:c r="G33" s="112" t="str">
        <x:v>웹소설 직접</x:v>
      </x:c>
      <x:c r="H33" s="112" t="str">
        <x:v>초반부/연독률</x:v>
      </x:c>
      <x:c r="I33" s="112" t="n">
        <x:v>25</x:v>
      </x:c>
      <x:c r="J33" s="112" t="str">
        <x:v>연독, 초반, 1화</x:v>
      </x:c>
      <x:c r="K33" s="112" t="str">
        <x:v>재게시</x:v>
      </x:c>
      <x:c r="L33" s="112" t="str">
        <x:v>높음</x:v>
      </x:c>
      <x:c r="M33" s="112" t="str">
        <x:v>제목의 펌/퍼옴 표시</x:v>
      </x:c>
      <x:c r="N33" s="116" t="str">
        <x:v>https://m.dcinside.com/board/tgijjdd/621764</x:v>
      </x:c>
      <x:c r="O33" s="116" t="str">
        <x:v>https://m.blog.naver.com/sntu2010/222734096260</x:v>
      </x:c>
      <x:c r="P33" s="112" t="str">
        <x:v>예</x:v>
      </x:c>
      <x:c r="Q33" s="113" t="str">
        <x:v>자동 분류·표본 검토 대상</x:v>
      </x:c>
    </x:row>
    <x:row r="34">
      <x:c r="A34" s="100" t="n">
        <x:v>33</x:v>
      </x:c>
      <x:c r="B34" s="101" t="n">
        <x:v>44697</x:v>
      </x:c>
      <x:c r="C34" s="102" t="n">
        <x:v>2022</x:v>
      </x:c>
      <x:c r="D34" s="103" t="str">
        <x:v>ID-222734094103</x:v>
      </x:c>
      <x:c r="E34" s="112" t="str">
        <x:v>[펌]기본적인 글쓰기의 개념 2부(노경찬 작가님)</x:v>
      </x:c>
      <x:c r="F34" s="112" t="str">
        <x:v>웹소작법</x:v>
      </x:c>
      <x:c r="G34" s="112" t="str">
        <x:v>웹소설 직접</x:v>
      </x:c>
      <x:c r="H34" s="112" t="str">
        <x:v>작법·상업성</x:v>
      </x:c>
      <x:c r="I34" s="112" t="n">
        <x:v>26</x:v>
      </x:c>
      <x:c r="J34" s="112" t="str">
        <x:v>글쓰기, 문장, 독자, 작법</x:v>
      </x:c>
      <x:c r="K34" s="112" t="str">
        <x:v>재게시</x:v>
      </x:c>
      <x:c r="L34" s="112" t="str">
        <x:v>높음</x:v>
      </x:c>
      <x:c r="M34" s="112" t="str">
        <x:v>제목의 펌/퍼옴 표시</x:v>
      </x:c>
      <x:c r="N34" s="116" t="str">
        <x:v>https://gall.dcinside.com/mgallery/board/view/?id=tgijjdd&amp;no=585454&amp;exception_mode=recommend&amp;search_head=30&amp;page=1</x:v>
      </x:c>
      <x:c r="O34" s="116" t="str">
        <x:v>https://m.blog.naver.com/sntu2010/222734094103</x:v>
      </x:c>
      <x:c r="P34" s="112" t="str">
        <x:v>예</x:v>
      </x:c>
      <x:c r="Q34" s="113" t="str">
        <x:v>자동 분류·표본 검토 대상</x:v>
      </x:c>
    </x:row>
    <x:row r="35">
      <x:c r="A35" s="100" t="n">
        <x:v>34</x:v>
      </x:c>
      <x:c r="B35" s="101" t="n">
        <x:v>44697</x:v>
      </x:c>
      <x:c r="C35" s="102" t="n">
        <x:v>2022</x:v>
      </x:c>
      <x:c r="D35" s="103" t="str">
        <x:v>ID-222734093577</x:v>
      </x:c>
      <x:c r="E35" s="112" t="str">
        <x:v>[펌]기본적인 글 쓰기에 대한 개념 1부(노경찬 작가님)</x:v>
      </x:c>
      <x:c r="F35" s="112" t="str">
        <x:v>웹소작법</x:v>
      </x:c>
      <x:c r="G35" s="112" t="str">
        <x:v>웹소설 직접</x:v>
      </x:c>
      <x:c r="H35" s="112" t="str">
        <x:v>캐릭터·전개</x:v>
      </x:c>
      <x:c r="I35" s="112" t="n">
        <x:v>2</x:v>
      </x:c>
      <x:c r="J35" s="112" t="str">
        <x:v>주인공</x:v>
      </x:c>
      <x:c r="K35" s="112" t="str">
        <x:v>재게시</x:v>
      </x:c>
      <x:c r="L35" s="112" t="str">
        <x:v>높음</x:v>
      </x:c>
      <x:c r="M35" s="112" t="str">
        <x:v>제목의 펌/퍼옴 표시</x:v>
      </x:c>
      <x:c r="N35" s="116" t="str">
        <x:v>https://gall.dcinside.com/mgallery/board/view/?id=tgijjdd&amp;no=585045&amp;exception_mode=recommend&amp;search_head=30&amp;page=1</x:v>
      </x:c>
      <x:c r="O35" s="116" t="str">
        <x:v>https://m.blog.naver.com/sntu2010/222734093577</x:v>
      </x:c>
      <x:c r="P35" s="112" t="str">
        <x:v>아니오</x:v>
      </x:c>
      <x:c r="Q35" s="113" t="str">
        <x:v>자동 분류·표본 검토 대상</x:v>
      </x:c>
    </x:row>
    <x:row r="36">
      <x:c r="A36" s="100" t="n">
        <x:v>35</x:v>
      </x:c>
      <x:c r="B36" s="101" t="n">
        <x:v>44697</x:v>
      </x:c>
      <x:c r="C36" s="102" t="n">
        <x:v>2022</x:v>
      </x:c>
      <x:c r="D36" s="103" t="str">
        <x:v>ID-222734092841</x:v>
      </x:c>
      <x:c r="E36" s="112" t="str">
        <x:v>[펌]진짜 유용한 사이트 알아내서 공유함</x:v>
      </x:c>
      <x:c r="F36" s="112" t="str">
        <x:v>웹소작법</x:v>
      </x:c>
      <x:c r="G36" s="112" t="str">
        <x:v>웹소설 직접</x:v>
      </x:c>
      <x:c r="H36" s="112" t="str">
        <x:v>작법·상업성</x:v>
      </x:c>
      <x:c r="I36" s="112" t="n">
        <x:v>2</x:v>
      </x:c>
      <x:c r="J36" s="112" t="str">
        <x:v>묘사, 작법</x:v>
      </x:c>
      <x:c r="K36" s="112" t="str">
        <x:v>재게시</x:v>
      </x:c>
      <x:c r="L36" s="112" t="str">
        <x:v>높음</x:v>
      </x:c>
      <x:c r="M36" s="112" t="str">
        <x:v>제목의 펌/퍼옴 표시</x:v>
      </x:c>
      <x:c r="N36" s="116" t="str">
        <x:v>https://gall.dcinside.com/mgallery/board/view/?id=tgijjdd&amp;no=597309&amp;exception_mode=recommend&amp;search_head=30&amp;page=1</x:v>
      </x:c>
      <x:c r="O36" s="116" t="str">
        <x:v>https://m.blog.naver.com/sntu2010/222734092841</x:v>
      </x:c>
      <x:c r="P36" s="112" t="str">
        <x:v>아니오</x:v>
      </x:c>
      <x:c r="Q36" s="113" t="str">
        <x:v>자동 분류·표본 검토 대상</x:v>
      </x:c>
    </x:row>
    <x:row r="37">
      <x:c r="A37" s="100" t="n">
        <x:v>36</x:v>
      </x:c>
      <x:c r="B37" s="101" t="n">
        <x:v>44697</x:v>
      </x:c>
      <x:c r="C37" s="102" t="n">
        <x:v>2022</x:v>
      </x:c>
      <x:c r="D37" s="103" t="str">
        <x:v>ID-222734092201</x:v>
      </x:c>
      <x:c r="E37" s="112" t="str">
        <x:v>[펌]작은 팁) 비유와 개연성에 대한 오해</x:v>
      </x:c>
      <x:c r="F37" s="112" t="str">
        <x:v>웹소작법</x:v>
      </x:c>
      <x:c r="G37" s="112" t="str">
        <x:v>웹소설 직접</x:v>
      </x:c>
      <x:c r="H37" s="112" t="str">
        <x:v>작법·상업성</x:v>
      </x:c>
      <x:c r="I37" s="112" t="n">
        <x:v>1</x:v>
      </x:c>
      <x:c r="J37" s="112" t="str">
        <x:v>작법</x:v>
      </x:c>
      <x:c r="K37" s="112" t="str">
        <x:v>재게시</x:v>
      </x:c>
      <x:c r="L37" s="112" t="str">
        <x:v>높음</x:v>
      </x:c>
      <x:c r="M37" s="112" t="str">
        <x:v>제목의 펌/퍼옴 표시</x:v>
      </x:c>
      <x:c r="N37" s="116" t="str">
        <x:v>https://gall.dcinside.com/mgallery/board/view/?id=tgijjdd&amp;no=598375&amp;exception_mode=recommend&amp;search_head=30&amp;page=1</x:v>
      </x:c>
      <x:c r="O37" s="116" t="str">
        <x:v>https://m.blog.naver.com/sntu2010/222734092201</x:v>
      </x:c>
      <x:c r="P37" s="112" t="str">
        <x:v>아니오</x:v>
      </x:c>
      <x:c r="Q37" s="113" t="str">
        <x:v>자동 분류·표본 검토 대상</x:v>
      </x:c>
    </x:row>
    <x:row r="38">
      <x:c r="A38" s="100" t="n">
        <x:v>37</x:v>
      </x:c>
      <x:c r="B38" s="101" t="n">
        <x:v>44697</x:v>
      </x:c>
      <x:c r="C38" s="102" t="n">
        <x:v>2022</x:v>
      </x:c>
      <x:c r="D38" s="103" t="str">
        <x:v>ID-222734091771</x:v>
      </x:c>
      <x:c r="E38" s="112" t="str">
        <x:v>[펌]웹소 쓰면서 팁 정리해본거</x:v>
      </x:c>
      <x:c r="F38" s="112" t="str">
        <x:v>웹소작법</x:v>
      </x:c>
      <x:c r="G38" s="112" t="str">
        <x:v>웹소설 직접</x:v>
      </x:c>
      <x:c r="H38" s="112" t="str">
        <x:v>캐릭터·전개</x:v>
      </x:c>
      <x:c r="I38" s="112" t="n">
        <x:v>8</x:v>
      </x:c>
      <x:c r="J38" s="112" t="str">
        <x:v>주인공, 인물, 서사</x:v>
      </x:c>
      <x:c r="K38" s="112" t="str">
        <x:v>재게시</x:v>
      </x:c>
      <x:c r="L38" s="112" t="str">
        <x:v>높음</x:v>
      </x:c>
      <x:c r="M38" s="112" t="str">
        <x:v>제목의 펌/퍼옴 표시</x:v>
      </x:c>
      <x:c r="N38" s="116" t="str">
        <x:v>https://gall.dcinside.com/mgallery/board/view/?id=tgijjdd&amp;no=601562&amp;exception_mode=recommend&amp;search_head=30&amp;page=1</x:v>
      </x:c>
      <x:c r="O38" s="116" t="str">
        <x:v>https://m.blog.naver.com/sntu2010/222734091771</x:v>
      </x:c>
      <x:c r="P38" s="112" t="str">
        <x:v>예</x:v>
      </x:c>
      <x:c r="Q38" s="113" t="str">
        <x:v>자동 분류·표본 검토 대상</x:v>
      </x:c>
    </x:row>
    <x:row r="39">
      <x:c r="A39" s="100" t="n">
        <x:v>38</x:v>
      </x:c>
      <x:c r="B39" s="101" t="n">
        <x:v>44697</x:v>
      </x:c>
      <x:c r="C39" s="102" t="n">
        <x:v>2022</x:v>
      </x:c>
      <x:c r="D39" s="103" t="str">
        <x:v>ID-222734091355</x:v>
      </x:c>
      <x:c r="E39" s="112" t="str">
        <x:v>[펌]비축연재 TIP</x:v>
      </x:c>
      <x:c r="F39" s="112" t="str">
        <x:v>웹소작법</x:v>
      </x:c>
      <x:c r="G39" s="112" t="str">
        <x:v>웹소설 직접</x:v>
      </x:c>
      <x:c r="H39" s="112" t="str">
        <x:v>초반부/연독률</x:v>
      </x:c>
      <x:c r="I39" s="112" t="n">
        <x:v>8</x:v>
      </x:c>
      <x:c r="J39" s="112" t="str">
        <x:v>초반, 15화, 유입, 3화, 10화</x:v>
      </x:c>
      <x:c r="K39" s="112" t="str">
        <x:v>재게시</x:v>
      </x:c>
      <x:c r="L39" s="112" t="str">
        <x:v>높음</x:v>
      </x:c>
      <x:c r="M39" s="112" t="str">
        <x:v>제목의 펌/퍼옴 표시</x:v>
      </x:c>
      <x:c r="N39" s="116" t="str">
        <x:v>https://gall.dcinside.com/mgallery/board/view/?id=tgijjdd&amp;no=602192&amp;exception_mode=recommend&amp;search_head=30&amp;page=1</x:v>
      </x:c>
      <x:c r="O39" s="116" t="str">
        <x:v>https://m.blog.naver.com/sntu2010/222734091355</x:v>
      </x:c>
      <x:c r="P39" s="112" t="str">
        <x:v>예</x:v>
      </x:c>
      <x:c r="Q39" s="113" t="str">
        <x:v>자동 분류·표본 검토 대상</x:v>
      </x:c>
    </x:row>
    <x:row r="40">
      <x:c r="A40" s="100" t="n">
        <x:v>39</x:v>
      </x:c>
      <x:c r="B40" s="101" t="n">
        <x:v>44697</x:v>
      </x:c>
      <x:c r="C40" s="102" t="n">
        <x:v>2022</x:v>
      </x:c>
      <x:c r="D40" s="103" t="str">
        <x:v>ID-222734090538</x:v>
      </x:c>
      <x:c r="E40" s="112" t="str">
        <x:v>[펌]문피아 잔기술 팁</x:v>
      </x:c>
      <x:c r="F40" s="112" t="str">
        <x:v>웹소작법</x:v>
      </x:c>
      <x:c r="G40" s="112" t="str">
        <x:v>웹소설 직접</x:v>
      </x:c>
      <x:c r="H40" s="112" t="str">
        <x:v>플랫폼·투고·계약</x:v>
      </x:c>
      <x:c r="I40" s="112" t="n">
        <x:v>20</x:v>
      </x:c>
      <x:c r="J40" s="112" t="str">
        <x:v>문피아</x:v>
      </x:c>
      <x:c r="K40" s="112" t="str">
        <x:v>재게시</x:v>
      </x:c>
      <x:c r="L40" s="112" t="str">
        <x:v>높음</x:v>
      </x:c>
      <x:c r="M40" s="112" t="str">
        <x:v>제목의 펌/퍼옴 표시</x:v>
      </x:c>
      <x:c r="N40" s="116" t="str">
        <x:v>https://gall.dcinside.com/mgallery/board/view/?id=tgijjdd&amp;no=602804&amp;exception_mode=recommend&amp;search_head=30&amp;page=1</x:v>
      </x:c>
      <x:c r="O40" s="116" t="str">
        <x:v>https://m.blog.naver.com/sntu2010/222734090538</x:v>
      </x:c>
      <x:c r="P40" s="112" t="str">
        <x:v>예</x:v>
      </x:c>
      <x:c r="Q40" s="113" t="str">
        <x:v>자동 분류·표본 검토 대상</x:v>
      </x:c>
    </x:row>
    <x:row r="41">
      <x:c r="A41" s="100" t="n">
        <x:v>40</x:v>
      </x:c>
      <x:c r="B41" s="101" t="n">
        <x:v>44697</x:v>
      </x:c>
      <x:c r="C41" s="102" t="n">
        <x:v>2022</x:v>
      </x:c>
      <x:c r="D41" s="103" t="str">
        <x:v>ID-222734090081</x:v>
      </x:c>
      <x:c r="E41" s="112" t="str">
        <x:v>[펌]본인이 문장을 잘 못쓴다 생각하면 한번 읽어보세요</x:v>
      </x:c>
      <x:c r="F41" s="112" t="str">
        <x:v>웹소작법</x:v>
      </x:c>
      <x:c r="G41" s="112" t="str">
        <x:v>웹소설 직접</x:v>
      </x:c>
      <x:c r="H41" s="112" t="str">
        <x:v>작법·상업성</x:v>
      </x:c>
      <x:c r="I41" s="112" t="n">
        <x:v>25</x:v>
      </x:c>
      <x:c r="J41" s="112" t="str">
        <x:v>문장, 소재, 작법</x:v>
      </x:c>
      <x:c r="K41" s="112" t="str">
        <x:v>재게시</x:v>
      </x:c>
      <x:c r="L41" s="112" t="str">
        <x:v>높음</x:v>
      </x:c>
      <x:c r="M41" s="112" t="str">
        <x:v>제목의 펌/퍼옴 표시</x:v>
      </x:c>
      <x:c r="N41" s="116" t="str">
        <x:v>https://gall.dcinside.com/mgallery/board/view/?id=tgijjdd&amp;no=605840&amp;exception_mode=recommend&amp;search_head=30&amp;page=1</x:v>
      </x:c>
      <x:c r="O41" s="116" t="str">
        <x:v>https://m.blog.naver.com/sntu2010/222734090081</x:v>
      </x:c>
      <x:c r="P41" s="112" t="str">
        <x:v>예</x:v>
      </x:c>
      <x:c r="Q41" s="113" t="str">
        <x:v>자동 분류·표본 검토 대상</x:v>
      </x:c>
    </x:row>
    <x:row r="42">
      <x:c r="A42" s="100" t="n">
        <x:v>41</x:v>
      </x:c>
      <x:c r="B42" s="101" t="n">
        <x:v>44697</x:v>
      </x:c>
      <x:c r="C42" s="102" t="n">
        <x:v>2022</x:v>
      </x:c>
      <x:c r="D42" s="103" t="str">
        <x:v>ID-222734088078</x:v>
      </x:c>
      <x:c r="E42" s="112" t="str">
        <x:v>[펌]설명하기 vs 표현하기</x:v>
      </x:c>
      <x:c r="F42" s="112" t="str">
        <x:v>웹소작법</x:v>
      </x:c>
      <x:c r="G42" s="112" t="str">
        <x:v>웹소설 직접</x:v>
      </x:c>
      <x:c r="H42" s="112" t="str">
        <x:v>작법·상업성</x:v>
      </x:c>
      <x:c r="I42" s="112" t="n">
        <x:v>6</x:v>
      </x:c>
      <x:c r="J42" s="112" t="str">
        <x:v>작법, 문장, 독자</x:v>
      </x:c>
      <x:c r="K42" s="112" t="str">
        <x:v>재게시</x:v>
      </x:c>
      <x:c r="L42" s="112" t="str">
        <x:v>높음</x:v>
      </x:c>
      <x:c r="M42" s="112" t="str">
        <x:v>제목의 펌/퍼옴 표시</x:v>
      </x:c>
      <x:c r="N42" s="116" t="str">
        <x:v>https://gall.dcinside.com/mgallery/board/view/?id=tgijjdd&amp;no=610129&amp;exception_mode=recommend&amp;search_head=30&amp;page=1</x:v>
      </x:c>
      <x:c r="O42" s="116" t="str">
        <x:v>https://m.blog.naver.com/sntu2010/222734088078</x:v>
      </x:c>
      <x:c r="P42" s="112" t="str">
        <x:v>예</x:v>
      </x:c>
      <x:c r="Q42" s="113" t="str">
        <x:v>자동 분류·표본 검토 대상</x:v>
      </x:c>
    </x:row>
    <x:row r="43">
      <x:c r="A43" s="100" t="n">
        <x:v>42</x:v>
      </x:c>
      <x:c r="B43" s="101" t="n">
        <x:v>44685</x:v>
      </x:c>
      <x:c r="C43" s="102" t="n">
        <x:v>2022</x:v>
      </x:c>
      <x:c r="D43" s="103" t="str">
        <x:v>ID-222721271706</x:v>
      </x:c>
      <x:c r="E43" s="112" t="str">
        <x:v>[펌]장소 이동은 신중하게 해야함</x:v>
      </x:c>
      <x:c r="F43" s="112" t="str">
        <x:v>웹소작법</x:v>
      </x:c>
      <x:c r="G43" s="112" t="str">
        <x:v>웹소설 직접</x:v>
      </x:c>
      <x:c r="H43" s="112" t="str">
        <x:v>작법·상업성</x:v>
      </x:c>
      <x:c r="I43" s="112" t="n">
        <x:v>6</x:v>
      </x:c>
      <x:c r="J43" s="112" t="str">
        <x:v>독자, 기대감, 작법</x:v>
      </x:c>
      <x:c r="K43" s="112" t="str">
        <x:v>재게시</x:v>
      </x:c>
      <x:c r="L43" s="112" t="str">
        <x:v>높음</x:v>
      </x:c>
      <x:c r="M43" s="112" t="str">
        <x:v>제목의 펌/퍼옴 표시</x:v>
      </x:c>
      <x:c r="N43" s="116" t="str">
        <x:v>https://gall.dcinside.com/mgallery/board/view/?id=tgijjdd&amp;no=626007&amp;s_type=search_subject_memo&amp;s_keyword=%ED%88%AC%EB%B2%A0&amp;page=1</x:v>
      </x:c>
      <x:c r="O43" s="116" t="str">
        <x:v>https://m.blog.naver.com/sntu2010/222721271706</x:v>
      </x:c>
      <x:c r="P43" s="112" t="str">
        <x:v>예</x:v>
      </x:c>
      <x:c r="Q43" s="113" t="str">
        <x:v>자동 분류·표본 검토 대상</x:v>
      </x:c>
    </x:row>
    <x:row r="44">
      <x:c r="A44" s="100" t="n">
        <x:v>43</x:v>
      </x:c>
      <x:c r="B44" s="101" t="n">
        <x:v>44673</x:v>
      </x:c>
      <x:c r="C44" s="102" t="n">
        <x:v>2022</x:v>
      </x:c>
      <x:c r="D44" s="103" t="str">
        <x:v>ID-222707997910</x:v>
      </x:c>
      <x:c r="E44" s="112" t="str">
        <x:v>Q. 쉬어가는 에피소드는 어떻게 쓰나요?</x:v>
      </x:c>
      <x:c r="F44" s="112" t="str">
        <x:v>웹소생각</x:v>
      </x:c>
      <x:c r="G44" s="112" t="str">
        <x:v>웹소설 직접</x:v>
      </x:c>
      <x:c r="H44" s="112" t="str">
        <x:v>캐릭터·전개</x:v>
      </x:c>
      <x:c r="I44" s="112" t="n">
        <x:v>21</x:v>
      </x:c>
      <x:c r="J44" s="112" t="str">
        <x:v>에피소드</x:v>
      </x:c>
      <x:c r="K44" s="112" t="str">
        <x:v>본인 작성/의견 추정</x:v>
      </x:c>
      <x:c r="L44" s="112" t="str">
        <x:v>낮음</x:v>
      </x:c>
      <x:c r="M44" s="112" t="str">
        <x:v>재게시 표시는 없으나 저자성 직접 증거 부족</x:v>
      </x:c>
      <x:c r="N44" s="116" t="str"/>
      <x:c r="O44" s="116" t="str">
        <x:v>https://m.blog.naver.com/sntu2010/222707997910</x:v>
      </x:c>
      <x:c r="P44" s="112" t="str">
        <x:v>예</x:v>
      </x:c>
      <x:c r="Q44" s="113" t="str">
        <x:v>자동 분류·표본 검토 대상</x:v>
      </x:c>
    </x:row>
    <x:row r="45">
      <x:c r="A45" s="100" t="n">
        <x:v>44</x:v>
      </x:c>
      <x:c r="B45" s="101" t="n">
        <x:v>44620</x:v>
      </x:c>
      <x:c r="C45" s="102" t="n">
        <x:v>2022</x:v>
      </x:c>
      <x:c r="D45" s="103" t="str">
        <x:v>ID-222660267037</x:v>
      </x:c>
      <x:c r="E45" s="112" t="str">
        <x:v>[펌]문장력을 키우는 10가지 방법</x:v>
      </x:c>
      <x:c r="F45" s="112" t="str">
        <x:v>웹소작법</x:v>
      </x:c>
      <x:c r="G45" s="112" t="str">
        <x:v>웹소설 직접</x:v>
      </x:c>
      <x:c r="H45" s="112" t="str">
        <x:v>작법·상업성</x:v>
      </x:c>
      <x:c r="I45" s="112" t="n">
        <x:v>21</x:v>
      </x:c>
      <x:c r="J45" s="112" t="str">
        <x:v>문장, 작법</x:v>
      </x:c>
      <x:c r="K45" s="112" t="str">
        <x:v>재게시</x:v>
      </x:c>
      <x:c r="L45" s="112" t="str">
        <x:v>높음</x:v>
      </x:c>
      <x:c r="M45" s="112" t="str">
        <x:v>제목의 펌/퍼옴 표시</x:v>
      </x:c>
      <x:c r="N45" s="116" t="str">
        <x:v>https://www.dogdrip.net/386583625</x:v>
      </x:c>
      <x:c r="O45" s="116" t="str">
        <x:v>https://m.blog.naver.com/sntu2010/222660267037</x:v>
      </x:c>
      <x:c r="P45" s="112" t="str">
        <x:v>예</x:v>
      </x:c>
      <x:c r="Q45" s="113" t="str">
        <x:v>자동 분류·표본 검토 대상</x:v>
      </x:c>
    </x:row>
    <x:row r="46">
      <x:c r="A46" s="100" t="n">
        <x:v>45</x:v>
      </x:c>
      <x:c r="B46" s="101" t="n">
        <x:v>44601</x:v>
      </x:c>
      <x:c r="C46" s="102" t="n">
        <x:v>2022</x:v>
      </x:c>
      <x:c r="D46" s="103" t="str">
        <x:v>ID-222643293597</x:v>
      </x:c>
      <x:c r="E46" s="112" t="str">
        <x:v>Q. 중위 플롯은 어떤식으로 정해야 하는 걸까요?</x:v>
      </x:c>
      <x:c r="F46" s="112" t="str">
        <x:v>웹소생각</x:v>
      </x:c>
      <x:c r="G46" s="112" t="str">
        <x:v>웹소설 직접</x:v>
      </x:c>
      <x:c r="H46" s="112" t="str">
        <x:v>캐릭터·전개</x:v>
      </x:c>
      <x:c r="I46" s="112" t="n">
        <x:v>28</x:v>
      </x:c>
      <x:c r="J46" s="112" t="str">
        <x:v>플롯, 에피소드</x:v>
      </x:c>
      <x:c r="K46" s="112" t="str">
        <x:v>본인 경험담 추정</x:v>
      </x:c>
      <x:c r="L46" s="112" t="str">
        <x:v>중간</x:v>
      </x:c>
      <x:c r="M46" s="112" t="str">
        <x:v>1인칭 경험·작품·계약 표현</x:v>
      </x:c>
      <x:c r="N46" s="116" t="str"/>
      <x:c r="O46" s="116" t="str">
        <x:v>https://m.blog.naver.com/sntu2010/222643293597</x:v>
      </x:c>
      <x:c r="P46" s="112" t="str">
        <x:v>예</x:v>
      </x:c>
      <x:c r="Q46" s="113" t="str">
        <x:v>자동 분류·표본 검토 대상</x:v>
      </x:c>
    </x:row>
    <x:row r="47">
      <x:c r="A47" s="100" t="n">
        <x:v>46</x:v>
      </x:c>
      <x:c r="B47" s="101" t="n">
        <x:v>44595</x:v>
      </x:c>
      <x:c r="C47" s="102" t="n">
        <x:v>2022</x:v>
      </x:c>
      <x:c r="D47" s="103" t="str">
        <x:v>ID-222637942470</x:v>
      </x:c>
      <x:c r="E47" s="112" t="str">
        <x:v>[펌]3인칭 팁</x:v>
      </x:c>
      <x:c r="F47" s="112" t="str">
        <x:v>웹소작법</x:v>
      </x:c>
      <x:c r="G47" s="112" t="str">
        <x:v>웹소설 직접</x:v>
      </x:c>
      <x:c r="H47" s="112" t="str">
        <x:v>캐릭터·전개</x:v>
      </x:c>
      <x:c r="I47" s="112" t="n">
        <x:v>4</x:v>
      </x:c>
      <x:c r="J47" s="112" t="str">
        <x:v>주인공</x:v>
      </x:c>
      <x:c r="K47" s="112" t="str">
        <x:v>재게시</x:v>
      </x:c>
      <x:c r="L47" s="112" t="str">
        <x:v>높음</x:v>
      </x:c>
      <x:c r="M47" s="112" t="str">
        <x:v>제목의 펌/퍼옴 표시</x:v>
      </x:c>
      <x:c r="N47" s="116" t="str">
        <x:v>https://gall.dcinside.com/mgallery/board/view/?id=tgijjdd&amp;no=583955&amp;exception_mode=recommend&amp;search_head=30&amp;page=1</x:v>
      </x:c>
      <x:c r="O47" s="116" t="str">
        <x:v>https://m.blog.naver.com/sntu2010/222637942470</x:v>
      </x:c>
      <x:c r="P47" s="112" t="str">
        <x:v>아니오</x:v>
      </x:c>
      <x:c r="Q47" s="113" t="str">
        <x:v>자동 분류·표본 검토 대상</x:v>
      </x:c>
    </x:row>
    <x:row r="48">
      <x:c r="A48" s="100" t="n">
        <x:v>47</x:v>
      </x:c>
      <x:c r="B48" s="101" t="n">
        <x:v>44595</x:v>
      </x:c>
      <x:c r="C48" s="102" t="n">
        <x:v>2022</x:v>
      </x:c>
      <x:c r="D48" s="103" t="str">
        <x:v>ID-222637941215</x:v>
      </x:c>
      <x:c r="E48" s="112" t="str">
        <x:v>[펌]망하는 글의 원인</x:v>
      </x:c>
      <x:c r="F48" s="112" t="str">
        <x:v>웹소작법</x:v>
      </x:c>
      <x:c r="G48" s="112" t="str">
        <x:v>웹소설 직접</x:v>
      </x:c>
      <x:c r="H48" s="112" t="str">
        <x:v>작법·상업성</x:v>
      </x:c>
      <x:c r="I48" s="112" t="n">
        <x:v>6</x:v>
      </x:c>
      <x:c r="J48" s="112" t="str">
        <x:v>소재, 재미, 클리셰, 독자, 작법</x:v>
      </x:c>
      <x:c r="K48" s="112" t="str">
        <x:v>재게시</x:v>
      </x:c>
      <x:c r="L48" s="112" t="str">
        <x:v>높음</x:v>
      </x:c>
      <x:c r="M48" s="112" t="str">
        <x:v>제목의 펌/퍼옴 표시</x:v>
      </x:c>
      <x:c r="N48" s="116" t="str">
        <x:v>https://gall.dcinside.com/mgallery/board/view/?id=tgijjdd&amp;no=578715&amp;exception_mode=recommend&amp;search_head=30&amp;page=1</x:v>
      </x:c>
      <x:c r="O48" s="116" t="str">
        <x:v>https://m.blog.naver.com/sntu2010/222637941215</x:v>
      </x:c>
      <x:c r="P48" s="112" t="str">
        <x:v>예</x:v>
      </x:c>
      <x:c r="Q48" s="113" t="str">
        <x:v>자동 분류·표본 검토 대상</x:v>
      </x:c>
    </x:row>
    <x:row r="49">
      <x:c r="A49" s="100" t="n">
        <x:v>48</x:v>
      </x:c>
      <x:c r="B49" s="101" t="n">
        <x:v>44595</x:v>
      </x:c>
      <x:c r="C49" s="102" t="n">
        <x:v>2022</x:v>
      </x:c>
      <x:c r="D49" s="103" t="str">
        <x:v>ID-222637940606</x:v>
      </x:c>
      <x:c r="E49" s="112" t="str">
        <x:v>[펌]웹소설 필력은 캐릭터가 9할 이상임</x:v>
      </x:c>
      <x:c r="F49" s="112" t="str">
        <x:v>웹소작법</x:v>
      </x:c>
      <x:c r="G49" s="112" t="str">
        <x:v>웹소설 직접</x:v>
      </x:c>
      <x:c r="H49" s="112" t="str">
        <x:v>캐릭터·전개</x:v>
      </x:c>
      <x:c r="I49" s="112" t="n">
        <x:v>28</x:v>
      </x:c>
      <x:c r="J49" s="112" t="str">
        <x:v>캐릭터, 플롯, 전개, 주인공</x:v>
      </x:c>
      <x:c r="K49" s="112" t="str">
        <x:v>재게시</x:v>
      </x:c>
      <x:c r="L49" s="112" t="str">
        <x:v>높음</x:v>
      </x:c>
      <x:c r="M49" s="112" t="str">
        <x:v>제목의 펌/퍼옴 표시</x:v>
      </x:c>
      <x:c r="N49" s="116" t="str">
        <x:v>https://gall.dcinside.com/mgallery/board/view/?id=tgijjdd&amp;no=575287&amp;exception_mode=recommend&amp;search_head=30&amp;page=1</x:v>
      </x:c>
      <x:c r="O49" s="116" t="str">
        <x:v>https://m.blog.naver.com/sntu2010/222637940606</x:v>
      </x:c>
      <x:c r="P49" s="112" t="str">
        <x:v>예</x:v>
      </x:c>
      <x:c r="Q49" s="113" t="str">
        <x:v>자동 분류·표본 검토 대상</x:v>
      </x:c>
    </x:row>
    <x:row r="50">
      <x:c r="A50" s="100" t="n">
        <x:v>49</x:v>
      </x:c>
      <x:c r="B50" s="101" t="n">
        <x:v>44595</x:v>
      </x:c>
      <x:c r="C50" s="102" t="n">
        <x:v>2022</x:v>
      </x:c>
      <x:c r="D50" s="103" t="str">
        <x:v>ID-222637939969</x:v>
      </x:c>
      <x:c r="E50" s="112" t="str">
        <x:v>[펌]찾는 분 계시길레... 망나니 클리셰+구조 요약</x:v>
      </x:c>
      <x:c r="F50" s="112" t="str">
        <x:v>웹소작법</x:v>
      </x:c>
      <x:c r="G50" s="112" t="str">
        <x:v>웹소설 직접</x:v>
      </x:c>
      <x:c r="H50" s="112" t="str">
        <x:v>작법·상업성</x:v>
      </x:c>
      <x:c r="I50" s="112" t="n">
        <x:v>22</x:v>
      </x:c>
      <x:c r="J50" s="112" t="str">
        <x:v>클리셰, 묘사, 작법</x:v>
      </x:c>
      <x:c r="K50" s="112" t="str">
        <x:v>재게시</x:v>
      </x:c>
      <x:c r="L50" s="112" t="str">
        <x:v>높음</x:v>
      </x:c>
      <x:c r="M50" s="112" t="str">
        <x:v>제목의 펌/퍼옴 표시</x:v>
      </x:c>
      <x:c r="N50" s="116" t="str">
        <x:v>https://gall.dcinside.com/mgallery/board/view/?id=tgijjdd&amp;no=570023&amp;exception_mode=recommend&amp;search_head=30&amp;page=1</x:v>
      </x:c>
      <x:c r="O50" s="116" t="str">
        <x:v>https://m.blog.naver.com/sntu2010/222637939969</x:v>
      </x:c>
      <x:c r="P50" s="112" t="str">
        <x:v>예</x:v>
      </x:c>
      <x:c r="Q50" s="113" t="str">
        <x:v>자동 분류·표본 검토 대상</x:v>
      </x:c>
    </x:row>
    <x:row r="51">
      <x:c r="A51" s="100" t="n">
        <x:v>50</x:v>
      </x:c>
      <x:c r="B51" s="101" t="n">
        <x:v>44595</x:v>
      </x:c>
      <x:c r="C51" s="102" t="n">
        <x:v>2022</x:v>
      </x:c>
      <x:c r="D51" s="103" t="str">
        <x:v>ID-222637939200</x:v>
      </x:c>
      <x:c r="E51" s="112" t="str">
        <x:v>[펌]헌터물 클리셰 찾는 친구야 이거보면됨</x:v>
      </x:c>
      <x:c r="F51" s="112" t="str">
        <x:v>웹소작법</x:v>
      </x:c>
      <x:c r="G51" s="112" t="str">
        <x:v>웹소설 직접</x:v>
      </x:c>
      <x:c r="H51" s="112" t="str">
        <x:v>작법·상업성</x:v>
      </x:c>
      <x:c r="I51" s="112" t="n">
        <x:v>23</x:v>
      </x:c>
      <x:c r="J51" s="112" t="str">
        <x:v>클리셰, 사이다, 작법</x:v>
      </x:c>
      <x:c r="K51" s="112" t="str">
        <x:v>재게시</x:v>
      </x:c>
      <x:c r="L51" s="112" t="str">
        <x:v>높음</x:v>
      </x:c>
      <x:c r="M51" s="112" t="str">
        <x:v>제목의 펌/퍼옴 표시</x:v>
      </x:c>
      <x:c r="N51" s="116" t="str">
        <x:v>https://gall.dcinside.com/mgallery/board/view/?id=tgijjdd&amp;no=567605&amp;exception_mode=recommend&amp;search_head=30&amp;page=1</x:v>
      </x:c>
      <x:c r="O51" s="116" t="str">
        <x:v>https://m.blog.naver.com/sntu2010/222637939200</x:v>
      </x:c>
      <x:c r="P51" s="112" t="str">
        <x:v>예</x:v>
      </x:c>
      <x:c r="Q51" s="113" t="str">
        <x:v>자동 분류·표본 검토 대상</x:v>
      </x:c>
    </x:row>
    <x:row r="52">
      <x:c r="A52" s="100" t="n">
        <x:v>51</x:v>
      </x:c>
      <x:c r="B52" s="101" t="n">
        <x:v>44595</x:v>
      </x:c>
      <x:c r="C52" s="102" t="n">
        <x:v>2022</x:v>
      </x:c>
      <x:c r="D52" s="103" t="str">
        <x:v>ID-222637938435</x:v>
      </x:c>
      <x:c r="E52" s="112" t="str">
        <x:v>[펌]노베이스 무협 입문 가이드라인 (인풋/연재팁)</x:v>
      </x:c>
      <x:c r="F52" s="112" t="str">
        <x:v>웹소작법</x:v>
      </x:c>
      <x:c r="G52" s="112" t="str">
        <x:v>웹소설 직접</x:v>
      </x:c>
      <x:c r="H52" s="112" t="str">
        <x:v>작법·상업성</x:v>
      </x:c>
      <x:c r="I52" s="112" t="n">
        <x:v>2</x:v>
      </x:c>
      <x:c r="J52" s="112" t="str">
        <x:v>문장, 작법</x:v>
      </x:c>
      <x:c r="K52" s="112" t="str">
        <x:v>재게시</x:v>
      </x:c>
      <x:c r="L52" s="112" t="str">
        <x:v>높음</x:v>
      </x:c>
      <x:c r="M52" s="112" t="str">
        <x:v>제목의 펌/퍼옴 표시</x:v>
      </x:c>
      <x:c r="N52" s="116" t="str">
        <x:v>https://gall.dcinside.com/mgallery/board/view/?id=tgijjdd&amp;no=565712&amp;exception_mode=recommend&amp;search_head=30&amp;page=1</x:v>
      </x:c>
      <x:c r="O52" s="116" t="str">
        <x:v>https://m.blog.naver.com/sntu2010/222637938435</x:v>
      </x:c>
      <x:c r="P52" s="112" t="str">
        <x:v>아니오</x:v>
      </x:c>
      <x:c r="Q52" s="113" t="str">
        <x:v>자동 분류·표본 검토 대상</x:v>
      </x:c>
    </x:row>
    <x:row r="53">
      <x:c r="A53" s="100" t="n">
        <x:v>52</x:v>
      </x:c>
      <x:c r="B53" s="101" t="n">
        <x:v>44595</x:v>
      </x:c>
      <x:c r="C53" s="102" t="n">
        <x:v>2022</x:v>
      </x:c>
      <x:c r="D53" s="103" t="str">
        <x:v>ID-222637936770</x:v>
      </x:c>
      <x:c r="E53" s="112" t="str">
        <x:v>[펌]카카페 판타지 10~15위권 알박작 인풋하면서 느낀 점</x:v>
      </x:c>
      <x:c r="F53" s="112" t="str">
        <x:v>웹소작법</x:v>
      </x:c>
      <x:c r="G53" s="112" t="str">
        <x:v>웹소설 직접</x:v>
      </x:c>
      <x:c r="H53" s="112" t="str">
        <x:v>캐릭터·전개</x:v>
      </x:c>
      <x:c r="I53" s="112" t="n">
        <x:v>4</x:v>
      </x:c>
      <x:c r="J53" s="112" t="str">
        <x:v>주인공, 사건</x:v>
      </x:c>
      <x:c r="K53" s="112" t="str">
        <x:v>재게시</x:v>
      </x:c>
      <x:c r="L53" s="112" t="str">
        <x:v>높음</x:v>
      </x:c>
      <x:c r="M53" s="112" t="str">
        <x:v>제목의 펌/퍼옴 표시</x:v>
      </x:c>
      <x:c r="N53" s="116" t="str">
        <x:v>https://gall.dcinside.com/mgallery/board/view/?id=tgijjdd&amp;no=551613&amp;exception_mode=recommend&amp;search_head=30&amp;page=1</x:v>
      </x:c>
      <x:c r="O53" s="116" t="str">
        <x:v>https://m.blog.naver.com/sntu2010/222637936770</x:v>
      </x:c>
      <x:c r="P53" s="112" t="str">
        <x:v>아니오</x:v>
      </x:c>
      <x:c r="Q53" s="113" t="str">
        <x:v>자동 분류·표본 검토 대상</x:v>
      </x:c>
    </x:row>
    <x:row r="54">
      <x:c r="A54" s="100" t="n">
        <x:v>53</x:v>
      </x:c>
      <x:c r="B54" s="101" t="n">
        <x:v>44595</x:v>
      </x:c>
      <x:c r="C54" s="102" t="n">
        <x:v>2022</x:v>
      </x:c>
      <x:c r="D54" s="103" t="str">
        <x:v>ID-222637935460</x:v>
      </x:c>
      <x:c r="E54" s="112" t="str">
        <x:v>[펌]카카오 소설 런칭 과정</x:v>
      </x:c>
      <x:c r="F54" s="112" t="str">
        <x:v>웹소작법</x:v>
      </x:c>
      <x:c r="G54" s="112" t="str">
        <x:v>웹소설 직접</x:v>
      </x:c>
      <x:c r="H54" s="112" t="str">
        <x:v>플랫폼·투고·계약</x:v>
      </x:c>
      <x:c r="I54" s="112" t="n">
        <x:v>28</x:v>
      </x:c>
      <x:c r="J54" s="112" t="str">
        <x:v>카카오, 매니지, 기다리면 무료, 독점, 문피아</x:v>
      </x:c>
      <x:c r="K54" s="112" t="str">
        <x:v>재게시</x:v>
      </x:c>
      <x:c r="L54" s="112" t="str">
        <x:v>높음</x:v>
      </x:c>
      <x:c r="M54" s="112" t="str">
        <x:v>제목의 펌/퍼옴 표시</x:v>
      </x:c>
      <x:c r="N54" s="116" t="str">
        <x:v>https://gall.dcinside.com/mgallery/board/view/?id=tgijjdd&amp;no=535878&amp;exception_mode=recommend&amp;search_head=30&amp;page=1</x:v>
      </x:c>
      <x:c r="O54" s="116" t="str">
        <x:v>https://m.blog.naver.com/sntu2010/222637935460</x:v>
      </x:c>
      <x:c r="P54" s="112" t="str">
        <x:v>예</x:v>
      </x:c>
      <x:c r="Q54" s="113" t="str">
        <x:v>자동 분류·표본 검토 대상</x:v>
      </x:c>
    </x:row>
    <x:row r="55">
      <x:c r="A55" s="100" t="n">
        <x:v>54</x:v>
      </x:c>
      <x:c r="B55" s="101" t="n">
        <x:v>44595</x:v>
      </x:c>
      <x:c r="C55" s="102" t="n">
        <x:v>2022</x:v>
      </x:c>
      <x:c r="D55" s="103" t="str">
        <x:v>ID-222637934832</x:v>
      </x:c>
      <x:c r="E55" s="112" t="str">
        <x:v>[펌]팁글 아무나 쓰는게 아니군요? 어쨌든 팁글</x:v>
      </x:c>
      <x:c r="F55" s="112" t="str">
        <x:v>웹소작법</x:v>
      </x:c>
      <x:c r="G55" s="112" t="str">
        <x:v>웹소설 직접</x:v>
      </x:c>
      <x:c r="H55" s="112" t="str">
        <x:v>초반부/연독률</x:v>
      </x:c>
      <x:c r="I55" s="112" t="n">
        <x:v>7</x:v>
      </x:c>
      <x:c r="J55" s="112" t="str">
        <x:v>5화, 25화, 초반, 1화</x:v>
      </x:c>
      <x:c r="K55" s="112" t="str">
        <x:v>재게시</x:v>
      </x:c>
      <x:c r="L55" s="112" t="str">
        <x:v>높음</x:v>
      </x:c>
      <x:c r="M55" s="112" t="str">
        <x:v>제목의 펌/퍼옴 표시</x:v>
      </x:c>
      <x:c r="N55" s="116" t="str">
        <x:v>https://gall.dcinside.com/mgallery/board/view/?id=tgijjdd&amp;no=527832&amp;exception_mode=recommend&amp;search_head=30&amp;page=1</x:v>
      </x:c>
      <x:c r="O55" s="116" t="str">
        <x:v>https://m.blog.naver.com/sntu2010/222637934832</x:v>
      </x:c>
      <x:c r="P55" s="112" t="str">
        <x:v>예</x:v>
      </x:c>
      <x:c r="Q55" s="113" t="str">
        <x:v>자동 분류·표본 검토 대상</x:v>
      </x:c>
    </x:row>
    <x:row r="56">
      <x:c r="A56" s="100" t="n">
        <x:v>55</x:v>
      </x:c>
      <x:c r="B56" s="101" t="n">
        <x:v>44595</x:v>
      </x:c>
      <x:c r="C56" s="102" t="n">
        <x:v>2022</x:v>
      </x:c>
      <x:c r="D56" s="103" t="str">
        <x:v>ID-222637933370</x:v>
      </x:c>
      <x:c r="E56" s="112" t="str">
        <x:v>[펌]세계적 작가들이 전하는 글쓰기 조언 41개</x:v>
      </x:c>
      <x:c r="F56" s="112" t="str">
        <x:v>웹소작법</x:v>
      </x:c>
      <x:c r="G56" s="112" t="str">
        <x:v>웹소설 직접</x:v>
      </x:c>
      <x:c r="H56" s="112" t="str">
        <x:v>작법·상업성</x:v>
      </x:c>
      <x:c r="I56" s="112" t="n">
        <x:v>21</x:v>
      </x:c>
      <x:c r="J56" s="112" t="str">
        <x:v>글쓰기, 작법</x:v>
      </x:c>
      <x:c r="K56" s="112" t="str">
        <x:v>재게시</x:v>
      </x:c>
      <x:c r="L56" s="112" t="str">
        <x:v>높음</x:v>
      </x:c>
      <x:c r="M56" s="112" t="str">
        <x:v>제목의 펌/퍼옴 표시</x:v>
      </x:c>
      <x:c r="N56" s="116" t="str">
        <x:v>https://gall.dcinside.com/mgallery/board/view/?id=tgijjdd&amp;no=518981&amp;exception_mode=recommend&amp;search_head=30&amp;page=1</x:v>
      </x:c>
      <x:c r="O56" s="116" t="str">
        <x:v>https://m.blog.naver.com/sntu2010/222637933370</x:v>
      </x:c>
      <x:c r="P56" s="112" t="str">
        <x:v>예</x:v>
      </x:c>
      <x:c r="Q56" s="113" t="str">
        <x:v>자동 분류·표본 검토 대상</x:v>
      </x:c>
    </x:row>
    <x:row r="57">
      <x:c r="A57" s="100" t="n">
        <x:v>56</x:v>
      </x:c>
      <x:c r="B57" s="101" t="n">
        <x:v>44595</x:v>
      </x:c>
      <x:c r="C57" s="102" t="n">
        <x:v>2022</x:v>
      </x:c>
      <x:c r="D57" s="103" t="str">
        <x:v>ID-222637932416</x:v>
      </x:c>
      <x:c r="E57" s="112" t="str">
        <x:v>[펌]효과음 미세팁</x:v>
      </x:c>
      <x:c r="F57" s="112" t="str">
        <x:v>웹소작법</x:v>
      </x:c>
      <x:c r="G57" s="112" t="str">
        <x:v>웹소설 직접</x:v>
      </x:c>
      <x:c r="H57" s="112" t="str">
        <x:v>작법·상업성</x:v>
      </x:c>
      <x:c r="I57" s="112" t="n">
        <x:v>1</x:v>
      </x:c>
      <x:c r="J57" s="112" t="str">
        <x:v>작법</x:v>
      </x:c>
      <x:c r="K57" s="112" t="str">
        <x:v>재게시</x:v>
      </x:c>
      <x:c r="L57" s="112" t="str">
        <x:v>높음</x:v>
      </x:c>
      <x:c r="M57" s="112" t="str">
        <x:v>제목의 펌/퍼옴 표시</x:v>
      </x:c>
      <x:c r="N57" s="116" t="str">
        <x:v>https://gall.dcinside.com/mgallery/board/view/?id=tgijjdd&amp;no=518309&amp;exception_mode=recommend&amp;search_head=30&amp;page=1</x:v>
      </x:c>
      <x:c r="O57" s="116" t="str">
        <x:v>https://m.blog.naver.com/sntu2010/222637932416</x:v>
      </x:c>
      <x:c r="P57" s="112" t="str">
        <x:v>아니오</x:v>
      </x:c>
      <x:c r="Q57" s="113" t="str">
        <x:v>자동 분류·표본 검토 대상</x:v>
      </x:c>
    </x:row>
    <x:row r="58">
      <x:c r="A58" s="100" t="n">
        <x:v>57</x:v>
      </x:c>
      <x:c r="B58" s="101" t="n">
        <x:v>44595</x:v>
      </x:c>
      <x:c r="C58" s="102" t="n">
        <x:v>2022</x:v>
      </x:c>
      <x:c r="D58" s="103" t="str">
        <x:v>ID-222637931634</x:v>
      </x:c>
      <x:c r="E58" s="112" t="str">
        <x:v>[펌]시리즈 독점 진입자가 많아진 것 같아서 푸는 전반적인 정리 팁</x:v>
      </x:c>
      <x:c r="F58" s="112" t="str">
        <x:v>웹소작법</x:v>
      </x:c>
      <x:c r="G58" s="112" t="str">
        <x:v>웹소설 직접</x:v>
      </x:c>
      <x:c r="H58" s="112" t="str">
        <x:v>플랫폼·투고·계약</x:v>
      </x:c>
      <x:c r="I58" s="112" t="n">
        <x:v>28</x:v>
      </x:c>
      <x:c r="J58" s="112" t="str">
        <x:v>독점, 투고, 네이버, 공모전, 매니지, 계약</x:v>
      </x:c>
      <x:c r="K58" s="112" t="str">
        <x:v>재게시</x:v>
      </x:c>
      <x:c r="L58" s="112" t="str">
        <x:v>높음</x:v>
      </x:c>
      <x:c r="M58" s="112" t="str">
        <x:v>제목의 펌/퍼옴 표시</x:v>
      </x:c>
      <x:c r="N58" s="116" t="str">
        <x:v>https://gall.dcinside.com/mgallery/board/view/?id=tgijjdd&amp;no=515873&amp;exception_mode=recommend&amp;search_head=30&amp;page=1</x:v>
      </x:c>
      <x:c r="O58" s="116" t="str">
        <x:v>https://m.blog.naver.com/sntu2010/222637931634</x:v>
      </x:c>
      <x:c r="P58" s="112" t="str">
        <x:v>예</x:v>
      </x:c>
      <x:c r="Q58" s="113" t="str">
        <x:v>자동 분류·표본 검토 대상</x:v>
      </x:c>
    </x:row>
    <x:row r="59">
      <x:c r="A59" s="100" t="n">
        <x:v>58</x:v>
      </x:c>
      <x:c r="B59" s="101" t="n">
        <x:v>44595</x:v>
      </x:c>
      <x:c r="C59" s="102" t="n">
        <x:v>2022</x:v>
      </x:c>
      <x:c r="D59" s="103" t="str">
        <x:v>ID-222637929142</x:v>
      </x:c>
      <x:c r="E59" s="112" t="str">
        <x:v>[펌] 종합소득세 신고 유형 (안내문에 써 있는 알파벳 기준)</x:v>
      </x:c>
      <x:c r="F59" s="112" t="str">
        <x:v>웹소작법</x:v>
      </x:c>
      <x:c r="G59" s="112" t="str">
        <x:v>웹소설 직접</x:v>
      </x:c>
      <x:c r="H59" s="112" t="str">
        <x:v>수익·운영</x:v>
      </x:c>
      <x:c r="I59" s="112" t="n">
        <x:v>4</x:v>
      </x:c>
      <x:c r="J59" s="112" t="str">
        <x:v>매출, 수입, 세금</x:v>
      </x:c>
      <x:c r="K59" s="112" t="str">
        <x:v>재게시</x:v>
      </x:c>
      <x:c r="L59" s="112" t="str">
        <x:v>높음</x:v>
      </x:c>
      <x:c r="M59" s="112" t="str">
        <x:v>제목의 펌/퍼옴 표시</x:v>
      </x:c>
      <x:c r="N59" s="116" t="str">
        <x:v>https://gall.dcinside.com/mgallery/board/view/?id=tgijjdd&amp;no=476222&amp;exception_mode=recommend&amp;search_head=30&amp;page=1</x:v>
      </x:c>
      <x:c r="O59" s="116" t="str">
        <x:v>https://m.blog.naver.com/sntu2010/222637929142</x:v>
      </x:c>
      <x:c r="P59" s="112" t="str">
        <x:v>아니오</x:v>
      </x:c>
      <x:c r="Q59" s="113" t="str">
        <x:v>자동 분류·표본 검토 대상</x:v>
      </x:c>
    </x:row>
    <x:row r="60">
      <x:c r="A60" s="100" t="n">
        <x:v>59</x:v>
      </x:c>
      <x:c r="B60" s="101" t="n">
        <x:v>44595</x:v>
      </x:c>
      <x:c r="C60" s="102" t="n">
        <x:v>2022</x:v>
      </x:c>
      <x:c r="D60" s="103" t="str">
        <x:v>ID-222637926062</x:v>
      </x:c>
      <x:c r="E60" s="112" t="str">
        <x:v>[펌]홈택스에서 안내문 및 내 소득 보는 법</x:v>
      </x:c>
      <x:c r="F60" s="112" t="str">
        <x:v>웹소작법</x:v>
      </x:c>
      <x:c r="G60" s="112" t="str">
        <x:v>웹소설 직접</x:v>
      </x:c>
      <x:c r="H60" s="112" t="str">
        <x:v>수익·운영</x:v>
      </x:c>
      <x:c r="I60" s="112" t="n">
        <x:v>4</x:v>
      </x:c>
      <x:c r="J60" s="112" t="str">
        <x:v>세금, 금액, 수입</x:v>
      </x:c>
      <x:c r="K60" s="112" t="str">
        <x:v>재게시</x:v>
      </x:c>
      <x:c r="L60" s="112" t="str">
        <x:v>높음</x:v>
      </x:c>
      <x:c r="M60" s="112" t="str">
        <x:v>제목의 펌/퍼옴 표시</x:v>
      </x:c>
      <x:c r="N60" s="116" t="str">
        <x:v>https://gall.dcinside.com/mgallery/board/view/?id=tgijjdd&amp;no=476194&amp;exception_mode=recommend&amp;search_head=30&amp;page=1</x:v>
      </x:c>
      <x:c r="O60" s="116" t="str">
        <x:v>https://m.blog.naver.com/sntu2010/222637926062</x:v>
      </x:c>
      <x:c r="P60" s="112" t="str">
        <x:v>아니오</x:v>
      </x:c>
      <x:c r="Q60" s="113" t="str">
        <x:v>자동 분류·표본 검토 대상</x:v>
      </x:c>
    </x:row>
    <x:row r="61">
      <x:c r="A61" s="100" t="n">
        <x:v>60</x:v>
      </x:c>
      <x:c r="B61" s="101" t="n">
        <x:v>44595</x:v>
      </x:c>
      <x:c r="C61" s="102" t="n">
        <x:v>2022</x:v>
      </x:c>
      <x:c r="D61" s="103" t="str">
        <x:v>ID-222637920944</x:v>
      </x:c>
      <x:c r="E61" s="112" t="str">
        <x:v>[펌]연독 방어에 도움이 될 만한 팁</x:v>
      </x:c>
      <x:c r="F61" s="112" t="str">
        <x:v>웹소작법</x:v>
      </x:c>
      <x:c r="G61" s="112" t="str">
        <x:v>웹소설 직접</x:v>
      </x:c>
      <x:c r="H61" s="112" t="str">
        <x:v>초반부/연독률</x:v>
      </x:c>
      <x:c r="I61" s="112" t="n">
        <x:v>24</x:v>
      </x:c>
      <x:c r="J61" s="112" t="str">
        <x:v>연독</x:v>
      </x:c>
      <x:c r="K61" s="112" t="str">
        <x:v>재게시</x:v>
      </x:c>
      <x:c r="L61" s="112" t="str">
        <x:v>높음</x:v>
      </x:c>
      <x:c r="M61" s="112" t="str">
        <x:v>제목의 펌/퍼옴 표시</x:v>
      </x:c>
      <x:c r="N61" s="116" t="str">
        <x:v>https://gall.dcinside.com/mgallery/board/view/?id=tgijjdd&amp;no=445329&amp;exception_mode=recommend&amp;search_head=30&amp;page=2</x:v>
      </x:c>
      <x:c r="O61" s="116" t="str">
        <x:v>https://m.blog.naver.com/sntu2010/222637920944</x:v>
      </x:c>
      <x:c r="P61" s="112" t="str">
        <x:v>예</x:v>
      </x:c>
      <x:c r="Q61" s="113" t="str">
        <x:v>자동 분류·표본 검토 대상</x:v>
      </x:c>
    </x:row>
    <x:row r="62">
      <x:c r="A62" s="100" t="n">
        <x:v>61</x:v>
      </x:c>
      <x:c r="B62" s="101" t="n">
        <x:v>44595</x:v>
      </x:c>
      <x:c r="C62" s="102" t="n">
        <x:v>2022</x:v>
      </x:c>
      <x:c r="D62" s="103" t="str">
        <x:v>ID-222637914610</x:v>
      </x:c>
      <x:c r="E62" s="112" t="str">
        <x:v>[펌]하이·로우앵글 구도 쉽게 잡는 꼼수</x:v>
      </x:c>
      <x:c r="F62" s="112" t="str">
        <x:v>웹툰작법</x:v>
      </x:c>
      <x:c r="G62" s="112" t="str">
        <x:v>웹툰 참고</x:v>
      </x:c>
      <x:c r="H62" s="112" t="str">
        <x:v>작법·상업성</x:v>
      </x:c>
      <x:c r="I62" s="112" t="n">
        <x:v>1</x:v>
      </x:c>
      <x:c r="J62" s="112" t="str">
        <x:v>작법</x:v>
      </x:c>
      <x:c r="K62" s="112" t="str">
        <x:v>재게시</x:v>
      </x:c>
      <x:c r="L62" s="112" t="str">
        <x:v>높음</x:v>
      </x:c>
      <x:c r="M62" s="112" t="str">
        <x:v>제목의 펌/퍼옴 표시</x:v>
      </x:c>
      <x:c r="N62" s="116" t="str">
        <x:v>https://gall.dcinside.com/mgallery/board/view/?id=cartoonist&amp;no=62841&amp;exception_mode=recommend&amp;search_head=10&amp;page=1</x:v>
      </x:c>
      <x:c r="O62" s="116" t="str">
        <x:v>https://m.blog.naver.com/sntu2010/222637914610</x:v>
      </x:c>
      <x:c r="P62" s="112" t="str">
        <x:v>아니오</x:v>
      </x:c>
      <x:c r="Q62" s="113" t="str">
        <x:v>자동 분류·표본 검토 대상</x:v>
      </x:c>
    </x:row>
    <x:row r="63">
      <x:c r="A63" s="100" t="n">
        <x:v>62</x:v>
      </x:c>
      <x:c r="B63" s="101" t="n">
        <x:v>44595</x:v>
      </x:c>
      <x:c r="C63" s="102" t="n">
        <x:v>2022</x:v>
      </x:c>
      <x:c r="D63" s="103" t="str">
        <x:v>ID-222637911988</x:v>
      </x:c>
      <x:c r="E63" s="112" t="str">
        <x:v>[펌]체인소맨 에서 배워야 하는 것</x:v>
      </x:c>
      <x:c r="F63" s="112" t="str">
        <x:v>웹툰작법</x:v>
      </x:c>
      <x:c r="G63" s="112" t="str">
        <x:v>웹툰 참고</x:v>
      </x:c>
      <x:c r="H63" s="112" t="str">
        <x:v>작법·상업성</x:v>
      </x:c>
      <x:c r="I63" s="112" t="n">
        <x:v>3</x:v>
      </x:c>
      <x:c r="J63" s="112" t="str">
        <x:v>소재, 장르, 작법</x:v>
      </x:c>
      <x:c r="K63" s="112" t="str">
        <x:v>재게시</x:v>
      </x:c>
      <x:c r="L63" s="112" t="str">
        <x:v>높음</x:v>
      </x:c>
      <x:c r="M63" s="112" t="str">
        <x:v>제목의 펌/퍼옴 표시</x:v>
      </x:c>
      <x:c r="N63" s="116" t="str">
        <x:v>https://gall.dcinside.com/mgallery/board/view/?id=cartoonist&amp;no=84199&amp;exception_mode=recommend&amp;search_head=10&amp;page=1</x:v>
      </x:c>
      <x:c r="O63" s="116" t="str">
        <x:v>https://m.blog.naver.com/sntu2010/222637911988</x:v>
      </x:c>
      <x:c r="P63" s="112" t="str">
        <x:v>아니오</x:v>
      </x:c>
      <x:c r="Q63" s="113" t="str">
        <x:v>자동 분류·표본 검토 대상</x:v>
      </x:c>
    </x:row>
    <x:row r="64">
      <x:c r="A64" s="100" t="n">
        <x:v>63</x:v>
      </x:c>
      <x:c r="B64" s="101" t="n">
        <x:v>44595</x:v>
      </x:c>
      <x:c r="C64" s="102" t="n">
        <x:v>2022</x:v>
      </x:c>
      <x:c r="D64" s="103" t="str">
        <x:v>ID-222637910765</x:v>
      </x:c>
      <x:c r="E64" s="112" t="str">
        <x:v>[펌]만화가가 되지 못한 사람들의 10가지 변명</x:v>
      </x:c>
      <x:c r="F64" s="112" t="str">
        <x:v>웹툰작법</x:v>
      </x:c>
      <x:c r="G64" s="112" t="str">
        <x:v>웹툰 참고</x:v>
      </x:c>
      <x:c r="H64" s="112" t="str">
        <x:v>작법·상업성</x:v>
      </x:c>
      <x:c r="I64" s="112" t="n">
        <x:v>2</x:v>
      </x:c>
      <x:c r="J64" s="112" t="str">
        <x:v>재미, 작법</x:v>
      </x:c>
      <x:c r="K64" s="112" t="str">
        <x:v>재게시</x:v>
      </x:c>
      <x:c r="L64" s="112" t="str">
        <x:v>높음</x:v>
      </x:c>
      <x:c r="M64" s="112" t="str">
        <x:v>제목의 펌/퍼옴 표시</x:v>
      </x:c>
      <x:c r="N64" s="116" t="str">
        <x:v>https://gall.dcinside.com/mgallery/board/view/?id=cartoonist&amp;no=100343&amp;exception_mode=recommend&amp;search_head=10&amp;page=1</x:v>
      </x:c>
      <x:c r="O64" s="116" t="str">
        <x:v>https://m.blog.naver.com/sntu2010/222637910765</x:v>
      </x:c>
      <x:c r="P64" s="112" t="str">
        <x:v>아니오</x:v>
      </x:c>
      <x:c r="Q64" s="113" t="str">
        <x:v>자동 분류·표본 검토 대상</x:v>
      </x:c>
    </x:row>
    <x:row r="65">
      <x:c r="A65" s="100" t="n">
        <x:v>64</x:v>
      </x:c>
      <x:c r="B65" s="101" t="n">
        <x:v>44595</x:v>
      </x:c>
      <x:c r="C65" s="102" t="n">
        <x:v>2022</x:v>
      </x:c>
      <x:c r="D65" s="103" t="str">
        <x:v>ID-222637904654</x:v>
      </x:c>
      <x:c r="E65" s="112" t="str">
        <x:v>[펌]다양한 각도의 인물그리는거 연습할 때 좋은 사이트 몇개 정리중</x:v>
      </x:c>
      <x:c r="F65" s="112" t="str">
        <x:v>웹툰작법</x:v>
      </x:c>
      <x:c r="G65" s="112" t="str">
        <x:v>웹툰 참고</x:v>
      </x:c>
      <x:c r="H65" s="112" t="str">
        <x:v>캐릭터·전개</x:v>
      </x:c>
      <x:c r="I65" s="112" t="n">
        <x:v>21</x:v>
      </x:c>
      <x:c r="J65" s="112" t="str">
        <x:v>인물</x:v>
      </x:c>
      <x:c r="K65" s="112" t="str">
        <x:v>재게시</x:v>
      </x:c>
      <x:c r="L65" s="112" t="str">
        <x:v>높음</x:v>
      </x:c>
      <x:c r="M65" s="112" t="str">
        <x:v>제목의 펌/퍼옴 표시</x:v>
      </x:c>
      <x:c r="N65" s="116" t="str">
        <x:v>https://gall.dcinside.com/mgallery/board/view/?id=drawing&amp;no=253643&amp;exception_mode=recommend&amp;search_head=110&amp;page=1</x:v>
      </x:c>
      <x:c r="O65" s="116" t="str">
        <x:v>https://m.blog.naver.com/sntu2010/222637904654</x:v>
      </x:c>
      <x:c r="P65" s="112" t="str">
        <x:v>아니오</x:v>
      </x:c>
      <x:c r="Q65" s="113" t="str">
        <x:v>자동 분류·표본 검토 대상</x:v>
      </x:c>
    </x:row>
    <x:row r="66">
      <x:c r="A66" s="100" t="n">
        <x:v>65</x:v>
      </x:c>
      <x:c r="B66" s="101" t="n">
        <x:v>44595</x:v>
      </x:c>
      <x:c r="C66" s="102" t="n">
        <x:v>2022</x:v>
      </x:c>
      <x:c r="D66" s="103" t="str">
        <x:v>ID-222637896505</x:v>
      </x:c>
      <x:c r="E66" s="112" t="str">
        <x:v>[펌]면크로키에 대해서</x:v>
      </x:c>
      <x:c r="F66" s="112" t="str">
        <x:v>웹툰작법</x:v>
      </x:c>
      <x:c r="G66" s="112" t="str">
        <x:v>웹툰 참고</x:v>
      </x:c>
      <x:c r="H66" s="112" t="str">
        <x:v>작법·상업성</x:v>
      </x:c>
      <x:c r="I66" s="112" t="n">
        <x:v>1</x:v>
      </x:c>
      <x:c r="J66" s="112" t="str">
        <x:v>작법</x:v>
      </x:c>
      <x:c r="K66" s="112" t="str">
        <x:v>재게시</x:v>
      </x:c>
      <x:c r="L66" s="112" t="str">
        <x:v>높음</x:v>
      </x:c>
      <x:c r="M66" s="112" t="str">
        <x:v>제목의 펌/퍼옴 표시</x:v>
      </x:c>
      <x:c r="N66" s="116" t="str">
        <x:v>https://gall.dcinside.com/mgallery/board/view/?id=drawing&amp;no=255816&amp;exception_mode=recommend&amp;search_head=110&amp;page=1</x:v>
      </x:c>
      <x:c r="O66" s="116" t="str">
        <x:v>https://m.blog.naver.com/sntu2010/222637896505</x:v>
      </x:c>
      <x:c r="P66" s="112" t="str">
        <x:v>아니오</x:v>
      </x:c>
      <x:c r="Q66" s="113" t="str">
        <x:v>자동 분류·표본 검토 대상</x:v>
      </x:c>
    </x:row>
    <x:row r="67">
      <x:c r="A67" s="100" t="n">
        <x:v>66</x:v>
      </x:c>
      <x:c r="B67" s="101" t="n">
        <x:v>44595</x:v>
      </x:c>
      <x:c r="C67" s="102" t="n">
        <x:v>2022</x:v>
      </x:c>
      <x:c r="D67" s="103" t="str">
        <x:v>ID-222637893679</x:v>
      </x:c>
      <x:c r="E67" s="112" t="str">
        <x:v>[펌]그림 초보를 위한 만화책 모작팁</x:v>
      </x:c>
      <x:c r="F67" s="112" t="str">
        <x:v>웹툰작법</x:v>
      </x:c>
      <x:c r="G67" s="112" t="str">
        <x:v>웹툰 참고</x:v>
      </x:c>
      <x:c r="H67" s="112" t="str">
        <x:v>작법·상업성</x:v>
      </x:c>
      <x:c r="I67" s="112" t="n">
        <x:v>1</x:v>
      </x:c>
      <x:c r="J67" s="112" t="str">
        <x:v>작법</x:v>
      </x:c>
      <x:c r="K67" s="112" t="str">
        <x:v>재게시</x:v>
      </x:c>
      <x:c r="L67" s="112" t="str">
        <x:v>높음</x:v>
      </x:c>
      <x:c r="M67" s="112" t="str">
        <x:v>제목의 펌/퍼옴 표시</x:v>
      </x:c>
      <x:c r="N67" s="116" t="str">
        <x:v>https://gall.dcinside.com/mgallery/board/view/?id=drawing&amp;no=257057&amp;exception_mode=recommend&amp;search_head=110&amp;page=1</x:v>
      </x:c>
      <x:c r="O67" s="116" t="str">
        <x:v>https://m.blog.naver.com/sntu2010/222637893679</x:v>
      </x:c>
      <x:c r="P67" s="112" t="str">
        <x:v>아니오</x:v>
      </x:c>
      <x:c r="Q67" s="113" t="str">
        <x:v>자동 분류·표본 검토 대상</x:v>
      </x:c>
    </x:row>
    <x:row r="68">
      <x:c r="A68" s="100" t="n">
        <x:v>67</x:v>
      </x:c>
      <x:c r="B68" s="101" t="n">
        <x:v>44595</x:v>
      </x:c>
      <x:c r="C68" s="102" t="n">
        <x:v>2022</x:v>
      </x:c>
      <x:c r="D68" s="103" t="str">
        <x:v>ID-222637889691</x:v>
      </x:c>
      <x:c r="E68" s="112" t="str">
        <x:v>[펌]그림 그리는 법 - 상상하여 그리기</x:v>
      </x:c>
      <x:c r="F68" s="112" t="str">
        <x:v>웹툰작법</x:v>
      </x:c>
      <x:c r="G68" s="112" t="str">
        <x:v>웹툰 참고</x:v>
      </x:c>
      <x:c r="H68" s="112" t="str">
        <x:v>작법·상업성</x:v>
      </x:c>
      <x:c r="I68" s="112" t="n">
        <x:v>1</x:v>
      </x:c>
      <x:c r="J68" s="112" t="str">
        <x:v>작법</x:v>
      </x:c>
      <x:c r="K68" s="112" t="str">
        <x:v>재게시</x:v>
      </x:c>
      <x:c r="L68" s="112" t="str">
        <x:v>높음</x:v>
      </x:c>
      <x:c r="M68" s="112" t="str">
        <x:v>제목의 펌/퍼옴 표시</x:v>
      </x:c>
      <x:c r="N68" s="116" t="str">
        <x:v>https://gall.dcinside.com/board/view/?id=cartoon_s&amp;no=330969&amp;search_pos=-320015&amp;s_type=search_name&amp;s_keyword=zfwz&amp;page=1</x:v>
      </x:c>
      <x:c r="O68" s="116" t="str">
        <x:v>https://m.blog.naver.com/sntu2010/222637889691</x:v>
      </x:c>
      <x:c r="P68" s="112" t="str">
        <x:v>아니오</x:v>
      </x:c>
      <x:c r="Q68" s="113" t="str">
        <x:v>자동 분류·표본 검토 대상</x:v>
      </x:c>
    </x:row>
    <x:row r="69">
      <x:c r="A69" s="100" t="n">
        <x:v>68</x:v>
      </x:c>
      <x:c r="B69" s="101" t="n">
        <x:v>44595</x:v>
      </x:c>
      <x:c r="C69" s="102" t="n">
        <x:v>2022</x:v>
      </x:c>
      <x:c r="D69" s="103" t="str">
        <x:v>ID-222637877810</x:v>
      </x:c>
      <x:c r="E69" s="112" t="str">
        <x:v>[펌]그림 그리는 법 - 형태로 생각하기 2</x:v>
      </x:c>
      <x:c r="F69" s="112" t="str">
        <x:v>웹툰작법</x:v>
      </x:c>
      <x:c r="G69" s="112" t="str">
        <x:v>웹툰 참고</x:v>
      </x:c>
      <x:c r="H69" s="112" t="str">
        <x:v>캐릭터·전개</x:v>
      </x:c>
      <x:c r="I69" s="112" t="n">
        <x:v>2</x:v>
      </x:c>
      <x:c r="J69" s="112" t="str">
        <x:v>시점, 관계</x:v>
      </x:c>
      <x:c r="K69" s="112" t="str">
        <x:v>재게시</x:v>
      </x:c>
      <x:c r="L69" s="112" t="str">
        <x:v>높음</x:v>
      </x:c>
      <x:c r="M69" s="112" t="str">
        <x:v>제목의 펌/퍼옴 표시</x:v>
      </x:c>
      <x:c r="N69" s="116" t="str">
        <x:v>https://gall.dcinside.com/board/view/?id=cartoon_s&amp;no=330595&amp;search_pos=-320015&amp;s_type=search_name&amp;s_keyword=zfwz&amp;page=1</x:v>
      </x:c>
      <x:c r="O69" s="116" t="str">
        <x:v>https://m.blog.naver.com/sntu2010/222637877810</x:v>
      </x:c>
      <x:c r="P69" s="112" t="str">
        <x:v>아니오</x:v>
      </x:c>
      <x:c r="Q69" s="113" t="str">
        <x:v>자동 분류·표본 검토 대상</x:v>
      </x:c>
    </x:row>
    <x:row r="70">
      <x:c r="A70" s="100" t="n">
        <x:v>69</x:v>
      </x:c>
      <x:c r="B70" s="101" t="n">
        <x:v>44595</x:v>
      </x:c>
      <x:c r="C70" s="102" t="n">
        <x:v>2022</x:v>
      </x:c>
      <x:c r="D70" s="103" t="str">
        <x:v>ID-222637872050</x:v>
      </x:c>
      <x:c r="E70" s="112" t="str">
        <x:v>[펌]그림 그리는 법 - 형태로 생각하기 1</x:v>
      </x:c>
      <x:c r="F70" s="112" t="str">
        <x:v>웹툰작법</x:v>
      </x:c>
      <x:c r="G70" s="112" t="str">
        <x:v>웹툰 참고</x:v>
      </x:c>
      <x:c r="H70" s="112" t="str">
        <x:v>작법·상업성</x:v>
      </x:c>
      <x:c r="I70" s="112" t="n">
        <x:v>1</x:v>
      </x:c>
      <x:c r="J70" s="112" t="str">
        <x:v>작법</x:v>
      </x:c>
      <x:c r="K70" s="112" t="str">
        <x:v>재게시</x:v>
      </x:c>
      <x:c r="L70" s="112" t="str">
        <x:v>높음</x:v>
      </x:c>
      <x:c r="M70" s="112" t="str">
        <x:v>제목의 펌/퍼옴 표시</x:v>
      </x:c>
      <x:c r="N70" s="116" t="str">
        <x:v>https://gall.dcinside.com/board/view/?id=cartoon_s&amp;no=330565&amp;search_pos=-320015&amp;s_type=search_name&amp;s_keyword=zfwz&amp;page=1</x:v>
      </x:c>
      <x:c r="O70" s="116" t="str">
        <x:v>https://m.blog.naver.com/sntu2010/222637872050</x:v>
      </x:c>
      <x:c r="P70" s="112" t="str">
        <x:v>아니오</x:v>
      </x:c>
      <x:c r="Q70" s="113" t="str">
        <x:v>자동 분류·표본 검토 대상</x:v>
      </x:c>
    </x:row>
    <x:row r="71">
      <x:c r="A71" s="100" t="n">
        <x:v>70</x:v>
      </x:c>
      <x:c r="B71" s="101" t="n">
        <x:v>44595</x:v>
      </x:c>
      <x:c r="C71" s="102" t="n">
        <x:v>2022</x:v>
      </x:c>
      <x:c r="D71" s="103" t="str">
        <x:v>ID-222637865724</x:v>
      </x:c>
      <x:c r="E71" s="112" t="str">
        <x:v>[펌]캐릭터 디자인하기</x:v>
      </x:c>
      <x:c r="F71" s="112" t="str">
        <x:v>웹툰작법</x:v>
      </x:c>
      <x:c r="G71" s="112" t="str">
        <x:v>웹툰 참고</x:v>
      </x:c>
      <x:c r="H71" s="112" t="str">
        <x:v>캐릭터·전개</x:v>
      </x:c>
      <x:c r="I71" s="112" t="n">
        <x:v>21</x:v>
      </x:c>
      <x:c r="J71" s="112" t="str">
        <x:v>캐릭터</x:v>
      </x:c>
      <x:c r="K71" s="112" t="str">
        <x:v>재게시</x:v>
      </x:c>
      <x:c r="L71" s="112" t="str">
        <x:v>높음</x:v>
      </x:c>
      <x:c r="M71" s="112" t="str">
        <x:v>제목의 펌/퍼옴 표시</x:v>
      </x:c>
      <x:c r="N71" s="116" t="str">
        <x:v>https://gall.dcinside.com/mgallery/board/view/?id=drawing&amp;no=220729</x:v>
      </x:c>
      <x:c r="O71" s="116" t="str">
        <x:v>https://m.blog.naver.com/sntu2010/222637865724</x:v>
      </x:c>
      <x:c r="P71" s="112" t="str">
        <x:v>아니오</x:v>
      </x:c>
      <x:c r="Q71" s="113" t="str">
        <x:v>자동 분류·표본 검토 대상</x:v>
      </x:c>
    </x:row>
    <x:row r="72">
      <x:c r="A72" s="100" t="n">
        <x:v>71</x:v>
      </x:c>
      <x:c r="B72" s="101" t="n">
        <x:v>44595</x:v>
      </x:c>
      <x:c r="C72" s="102" t="n">
        <x:v>2022</x:v>
      </x:c>
      <x:c r="D72" s="103" t="str">
        <x:v>ID-222637848711</x:v>
      </x:c>
      <x:c r="E72" s="112" t="str">
        <x:v>[펌]눈을 입체적으로 그리기 위한 팁 1~2부</x:v>
      </x:c>
      <x:c r="F72" s="112" t="str">
        <x:v>웹툰작법</x:v>
      </x:c>
      <x:c r="G72" s="112" t="str">
        <x:v>웹툰 참고</x:v>
      </x:c>
      <x:c r="H72" s="112" t="str">
        <x:v>작법·상업성</x:v>
      </x:c>
      <x:c r="I72" s="112" t="n">
        <x:v>1</x:v>
      </x:c>
      <x:c r="J72" s="112" t="str">
        <x:v>작법</x:v>
      </x:c>
      <x:c r="K72" s="112" t="str">
        <x:v>재게시</x:v>
      </x:c>
      <x:c r="L72" s="112" t="str">
        <x:v>높음</x:v>
      </x:c>
      <x:c r="M72" s="112" t="str">
        <x:v>제목의 펌/퍼옴 표시</x:v>
      </x:c>
      <x:c r="N72" s="116" t="str">
        <x:v>https://gall.dcinside.com/mgallery/board/view/?id=drawing&amp;no=267039&amp;exception_mode=recommend&amp;search_head=110&amp;page=1</x:v>
      </x:c>
      <x:c r="O72" s="116" t="str">
        <x:v>https://m.blog.naver.com/sntu2010/222637848711</x:v>
      </x:c>
      <x:c r="P72" s="112" t="str">
        <x:v>아니오</x:v>
      </x:c>
      <x:c r="Q72" s="113" t="str">
        <x:v>자동 분류·표본 검토 대상</x:v>
      </x:c>
    </x:row>
    <x:row r="73">
      <x:c r="A73" s="100" t="n">
        <x:v>72</x:v>
      </x:c>
      <x:c r="B73" s="101" t="n">
        <x:v>44595</x:v>
      </x:c>
      <x:c r="C73" s="102" t="n">
        <x:v>2022</x:v>
      </x:c>
      <x:c r="D73" s="103" t="str">
        <x:v>ID-222637846016</x:v>
      </x:c>
      <x:c r="E73" s="112" t="str">
        <x:v>[펌]내가 즐겨보는 그림 유튜버들 목록</x:v>
      </x:c>
      <x:c r="F73" s="112" t="str">
        <x:v>웹툰작법</x:v>
      </x:c>
      <x:c r="G73" s="112" t="str">
        <x:v>웹툰 참고</x:v>
      </x:c>
      <x:c r="H73" s="112" t="str">
        <x:v>작법·상업성</x:v>
      </x:c>
      <x:c r="I73" s="112" t="n">
        <x:v>1</x:v>
      </x:c>
      <x:c r="J73" s="112" t="str">
        <x:v>작법</x:v>
      </x:c>
      <x:c r="K73" s="112" t="str">
        <x:v>재게시</x:v>
      </x:c>
      <x:c r="L73" s="112" t="str">
        <x:v>높음</x:v>
      </x:c>
      <x:c r="M73" s="112" t="str">
        <x:v>제목의 펌/퍼옴 표시</x:v>
      </x:c>
      <x:c r="N73" s="116" t="str">
        <x:v>https://gall.dcinside.com/mgallery/board/view/?id=drawing&amp;no=266386&amp;exception_mode=recommend&amp;search_head=110&amp;page=1</x:v>
      </x:c>
      <x:c r="O73" s="116" t="str">
        <x:v>https://m.blog.naver.com/sntu2010/222637846016</x:v>
      </x:c>
      <x:c r="P73" s="112" t="str">
        <x:v>아니오</x:v>
      </x:c>
      <x:c r="Q73" s="113" t="str">
        <x:v>자동 분류·표본 검토 대상</x:v>
      </x:c>
    </x:row>
    <x:row r="74">
      <x:c r="A74" s="100" t="n">
        <x:v>73</x:v>
      </x:c>
      <x:c r="B74" s="101" t="n">
        <x:v>44592</x:v>
      </x:c>
      <x:c r="C74" s="102" t="n">
        <x:v>2022</x:v>
      </x:c>
      <x:c r="D74" s="103" t="str">
        <x:v>ID-222635756566</x:v>
      </x:c>
      <x:c r="E74" s="112" t="str">
        <x:v>[펌]글먹에 정말 중요한 팁 하나 푼다</x:v>
      </x:c>
      <x:c r="F74" s="112" t="str">
        <x:v>웹소작법</x:v>
      </x:c>
      <x:c r="G74" s="112" t="str">
        <x:v>웹소설 직접</x:v>
      </x:c>
      <x:c r="H74" s="112" t="str">
        <x:v>캐릭터·전개</x:v>
      </x:c>
      <x:c r="I74" s="112" t="n">
        <x:v>8</x:v>
      </x:c>
      <x:c r="J74" s="112" t="str">
        <x:v>에피소드, 플롯, 사건, 주인공, 히로인</x:v>
      </x:c>
      <x:c r="K74" s="112" t="str">
        <x:v>재게시</x:v>
      </x:c>
      <x:c r="L74" s="112" t="str">
        <x:v>높음</x:v>
      </x:c>
      <x:c r="M74" s="112" t="str">
        <x:v>제목의 펌/퍼옴 표시</x:v>
      </x:c>
      <x:c r="N74" s="116" t="str">
        <x:v>https://gall.dcinside.com/mgallery/board/view/?id=tgijjdd&amp;no=580909&amp;exception_mode=recommend&amp;page=2</x:v>
      </x:c>
      <x:c r="O74" s="116" t="str">
        <x:v>https://m.blog.naver.com/sntu2010/222635756566</x:v>
      </x:c>
      <x:c r="P74" s="112" t="str">
        <x:v>예</x:v>
      </x:c>
      <x:c r="Q74" s="113" t="str">
        <x:v>자동 분류·표본 검토 대상</x:v>
      </x:c>
    </x:row>
    <x:row r="75">
      <x:c r="A75" s="100" t="n">
        <x:v>74</x:v>
      </x:c>
      <x:c r="B75" s="101" t="n">
        <x:v>44584</x:v>
      </x:c>
      <x:c r="C75" s="102" t="n">
        <x:v>2022</x:v>
      </x:c>
      <x:c r="D75" s="103" t="str">
        <x:v>ID-222629256880</x:v>
      </x:c>
      <x:c r="E75" s="112" t="str">
        <x:v>초반부에 글이 막힐 때 고려해야 할 부분!</x:v>
      </x:c>
      <x:c r="F75" s="112" t="str">
        <x:v>웹소생각</x:v>
      </x:c>
      <x:c r="G75" s="112" t="str">
        <x:v>웹소설 직접</x:v>
      </x:c>
      <x:c r="H75" s="112" t="str">
        <x:v>초반부/연독률</x:v>
      </x:c>
      <x:c r="I75" s="112" t="n">
        <x:v>23</x:v>
      </x:c>
      <x:c r="J75" s="112" t="str">
        <x:v>초반, 무료 연재</x:v>
      </x:c>
      <x:c r="K75" s="112" t="str">
        <x:v>본인 작성/의견 추정</x:v>
      </x:c>
      <x:c r="L75" s="112" t="str">
        <x:v>낮음</x:v>
      </x:c>
      <x:c r="M75" s="112" t="str">
        <x:v>재게시 표시는 없으나 저자성 직접 증거 부족</x:v>
      </x:c>
      <x:c r="N75" s="116" t="str"/>
      <x:c r="O75" s="116" t="str">
        <x:v>https://m.blog.naver.com/sntu2010/222629256880</x:v>
      </x:c>
      <x:c r="P75" s="112" t="str">
        <x:v>예</x:v>
      </x:c>
      <x:c r="Q75" s="113" t="str">
        <x:v>자동 분류·표본 검토 대상</x:v>
      </x:c>
    </x:row>
    <x:row r="76">
      <x:c r="A76" s="100" t="n">
        <x:v>75</x:v>
      </x:c>
      <x:c r="B76" s="101" t="n">
        <x:v>44583</x:v>
      </x:c>
      <x:c r="C76" s="102" t="n">
        <x:v>2022</x:v>
      </x:c>
      <x:c r="D76" s="103" t="str">
        <x:v>ID-222628543875</x:v>
      </x:c>
      <x:c r="E76" s="112" t="str">
        <x:v>[펌]컬러가 어려운 그붕이들을 위한 꿀팁.info</x:v>
      </x:c>
      <x:c r="F76" s="112" t="str">
        <x:v>웹툰작법</x:v>
      </x:c>
      <x:c r="G76" s="112" t="str">
        <x:v>웹툰 참고</x:v>
      </x:c>
      <x:c r="H76" s="112" t="str">
        <x:v>작법·상업성</x:v>
      </x:c>
      <x:c r="I76" s="112" t="n">
        <x:v>1</x:v>
      </x:c>
      <x:c r="J76" s="112" t="str">
        <x:v>작법</x:v>
      </x:c>
      <x:c r="K76" s="112" t="str">
        <x:v>재게시</x:v>
      </x:c>
      <x:c r="L76" s="112" t="str">
        <x:v>높음</x:v>
      </x:c>
      <x:c r="M76" s="112" t="str">
        <x:v>제목의 펌/퍼옴 표시</x:v>
      </x:c>
      <x:c r="N76" s="116" t="str">
        <x:v>https://gall.dcinside.com/mgallery/board/view/?id=drawing&amp;no=266648&amp;exception_mode=recommend&amp;page=1</x:v>
      </x:c>
      <x:c r="O76" s="116" t="str">
        <x:v>https://m.blog.naver.com/sntu2010/222628543875</x:v>
      </x:c>
      <x:c r="P76" s="112" t="str">
        <x:v>아니오</x:v>
      </x:c>
      <x:c r="Q76" s="113" t="str">
        <x:v>자동 분류·표본 검토 대상</x:v>
      </x:c>
    </x:row>
    <x:row r="77">
      <x:c r="A77" s="100" t="n">
        <x:v>76</x:v>
      </x:c>
      <x:c r="B77" s="101" t="n">
        <x:v>44575</x:v>
      </x:c>
      <x:c r="C77" s="102" t="n">
        <x:v>2022</x:v>
      </x:c>
      <x:c r="D77" s="103" t="str">
        <x:v>ID-222621472296</x:v>
      </x:c>
      <x:c r="E77" s="112" t="str">
        <x:v>웹소설에서 성좌물이 주는 장점이 뭘까?</x:v>
      </x:c>
      <x:c r="F77" s="112" t="str">
        <x:v>웹소생각</x:v>
      </x:c>
      <x:c r="G77" s="112" t="str">
        <x:v>웹소설 직접</x:v>
      </x:c>
      <x:c r="H77" s="112" t="str">
        <x:v>캐릭터·전개</x:v>
      </x:c>
      <x:c r="I77" s="112" t="n">
        <x:v>3</x:v>
      </x:c>
      <x:c r="J77" s="112" t="str">
        <x:v>주인공</x:v>
      </x:c>
      <x:c r="K77" s="112" t="str">
        <x:v>본인 작성/의견 추정</x:v>
      </x:c>
      <x:c r="L77" s="112" t="str">
        <x:v>낮음</x:v>
      </x:c>
      <x:c r="M77" s="112" t="str">
        <x:v>재게시 표시는 없으나 저자성 직접 증거 부족</x:v>
      </x:c>
      <x:c r="N77" s="116" t="str"/>
      <x:c r="O77" s="116" t="str">
        <x:v>https://m.blog.naver.com/sntu2010/222621472296</x:v>
      </x:c>
      <x:c r="P77" s="112" t="str">
        <x:v>아니오</x:v>
      </x:c>
      <x:c r="Q77" s="113" t="str">
        <x:v>자동 분류·표본 검토 대상</x:v>
      </x:c>
    </x:row>
    <x:row r="78">
      <x:c r="A78" s="100" t="n">
        <x:v>77</x:v>
      </x:c>
      <x:c r="B78" s="101" t="n">
        <x:v>44574</x:v>
      </x:c>
      <x:c r="C78" s="102" t="n">
        <x:v>2022</x:v>
      </x:c>
      <x:c r="D78" s="103" t="str">
        <x:v>ID-222620534644</x:v>
      </x:c>
      <x:c r="E78" s="112" t="str">
        <x:v>웹소설에서 인기 소재를 섞는 방식에 대해 알아보자!</x:v>
      </x:c>
      <x:c r="F78" s="112" t="str">
        <x:v>웹소생각</x:v>
      </x:c>
      <x:c r="G78" s="112" t="str">
        <x:v>웹소설 직접</x:v>
      </x:c>
      <x:c r="H78" s="112" t="str">
        <x:v>작법·상업성</x:v>
      </x:c>
      <x:c r="I78" s="112" t="n">
        <x:v>22</x:v>
      </x:c>
      <x:c r="J78" s="112" t="str">
        <x:v>소재</x:v>
      </x:c>
      <x:c r="K78" s="112" t="str">
        <x:v>본인 경험담 추정</x:v>
      </x:c>
      <x:c r="L78" s="112" t="str">
        <x:v>중간</x:v>
      </x:c>
      <x:c r="M78" s="112" t="str">
        <x:v>1인칭 경험·작품·계약 표현</x:v>
      </x:c>
      <x:c r="N78" s="116" t="str"/>
      <x:c r="O78" s="116" t="str">
        <x:v>https://m.blog.naver.com/sntu2010/222620534644</x:v>
      </x:c>
      <x:c r="P78" s="112" t="str">
        <x:v>예</x:v>
      </x:c>
      <x:c r="Q78" s="113" t="str">
        <x:v>자동 분류·표본 검토 대상</x:v>
      </x:c>
    </x:row>
    <x:row r="79">
      <x:c r="A79" s="100" t="n">
        <x:v>78</x:v>
      </x:c>
      <x:c r="B79" s="101" t="n">
        <x:v>44573</x:v>
      </x:c>
      <x:c r="C79" s="102" t="n">
        <x:v>2022</x:v>
      </x:c>
      <x:c r="D79" s="103" t="str">
        <x:v>ID-222619862824</x:v>
      </x:c>
      <x:c r="E79" s="112" t="str">
        <x:v>다작하는 작가들의 비결을 알아보자!</x:v>
      </x:c>
      <x:c r="F79" s="112" t="str">
        <x:v>웹소생각</x:v>
      </x:c>
      <x:c r="G79" s="112" t="str">
        <x:v>웹소설 직접</x:v>
      </x:c>
      <x:c r="H79" s="112" t="str">
        <x:v>기타/검토</x:v>
      </x:c>
      <x:c r="I79" s="112" t="n">
        <x:v>0</x:v>
      </x:c>
      <x:c r="J79" s="112" t="str"/>
      <x:c r="K79" s="112" t="str">
        <x:v>본인 작성/의견 추정</x:v>
      </x:c>
      <x:c r="L79" s="112" t="str">
        <x:v>낮음</x:v>
      </x:c>
      <x:c r="M79" s="112" t="str">
        <x:v>재게시 표시는 없으나 저자성 직접 증거 부족</x:v>
      </x:c>
      <x:c r="N79" s="116" t="str"/>
      <x:c r="O79" s="116" t="str">
        <x:v>https://m.blog.naver.com/sntu2010/222619862824</x:v>
      </x:c>
      <x:c r="P79" s="112" t="str">
        <x:v>아니오</x:v>
      </x:c>
      <x:c r="Q79" s="113" t="str">
        <x:v>수동 검토 필요</x:v>
      </x:c>
    </x:row>
    <x:row r="80">
      <x:c r="A80" s="100" t="n">
        <x:v>79</x:v>
      </x:c>
      <x:c r="B80" s="101" t="n">
        <x:v>44570</x:v>
      </x:c>
      <x:c r="C80" s="102" t="n">
        <x:v>2022</x:v>
      </x:c>
      <x:c r="D80" s="103" t="str">
        <x:v>ID-222617091087</x:v>
      </x:c>
      <x:c r="E80" s="112" t="str">
        <x:v>웹소설에서 망나니물을 쓰는 이유가 뭘까?</x:v>
      </x:c>
      <x:c r="F80" s="112" t="str">
        <x:v>웹소생각</x:v>
      </x:c>
      <x:c r="G80" s="112" t="str">
        <x:v>웹소설 직접</x:v>
      </x:c>
      <x:c r="H80" s="112" t="str">
        <x:v>캐릭터·전개</x:v>
      </x:c>
      <x:c r="I80" s="112" t="n">
        <x:v>6</x:v>
      </x:c>
      <x:c r="J80" s="112" t="str">
        <x:v>주인공, 인물, 사건</x:v>
      </x:c>
      <x:c r="K80" s="112" t="str">
        <x:v>본인 작성/의견 추정</x:v>
      </x:c>
      <x:c r="L80" s="112" t="str">
        <x:v>낮음</x:v>
      </x:c>
      <x:c r="M80" s="112" t="str">
        <x:v>재게시 표시는 없으나 저자성 직접 증거 부족</x:v>
      </x:c>
      <x:c r="N80" s="116" t="str"/>
      <x:c r="O80" s="116" t="str">
        <x:v>https://m.blog.naver.com/sntu2010/222617091087</x:v>
      </x:c>
      <x:c r="P80" s="112" t="str">
        <x:v>예</x:v>
      </x:c>
      <x:c r="Q80" s="113" t="str">
        <x:v>자동 분류·표본 검토 대상</x:v>
      </x:c>
    </x:row>
    <x:row r="81">
      <x:c r="A81" s="100" t="n">
        <x:v>80</x:v>
      </x:c>
      <x:c r="B81" s="101" t="n">
        <x:v>44568</x:v>
      </x:c>
      <x:c r="C81" s="102" t="n">
        <x:v>2022</x:v>
      </x:c>
      <x:c r="D81" s="103" t="str">
        <x:v>ID-222615338804</x:v>
      </x:c>
      <x:c r="E81" s="112" t="str">
        <x:v>웹소설에서 회귀물을 사용하는 이유가 뭘까?</x:v>
      </x:c>
      <x:c r="F81" s="112" t="str">
        <x:v>웹소생각</x:v>
      </x:c>
      <x:c r="G81" s="112" t="str">
        <x:v>웹소설 직접</x:v>
      </x:c>
      <x:c r="H81" s="112" t="str">
        <x:v>캐릭터·전개</x:v>
      </x:c>
      <x:c r="I81" s="112" t="n">
        <x:v>5</x:v>
      </x:c>
      <x:c r="J81" s="112" t="str">
        <x:v>주인공</x:v>
      </x:c>
      <x:c r="K81" s="112" t="str">
        <x:v>본인 작성/의견 추정</x:v>
      </x:c>
      <x:c r="L81" s="112" t="str">
        <x:v>낮음</x:v>
      </x:c>
      <x:c r="M81" s="112" t="str">
        <x:v>재게시 표시는 없으나 저자성 직접 증거 부족</x:v>
      </x:c>
      <x:c r="N81" s="116" t="str"/>
      <x:c r="O81" s="116" t="str">
        <x:v>https://m.blog.naver.com/sntu2010/222615338804</x:v>
      </x:c>
      <x:c r="P81" s="112" t="str">
        <x:v>아니오</x:v>
      </x:c>
      <x:c r="Q81" s="113" t="str">
        <x:v>자동 분류·표본 검토 대상</x:v>
      </x:c>
    </x:row>
    <x:row r="82">
      <x:c r="A82" s="100" t="n">
        <x:v>81</x:v>
      </x:c>
      <x:c r="B82" s="101" t="n">
        <x:v>44565</x:v>
      </x:c>
      <x:c r="C82" s="102" t="n">
        <x:v>2022</x:v>
      </x:c>
      <x:c r="D82" s="103" t="str">
        <x:v>ID-222612498585</x:v>
      </x:c>
      <x:c r="E82" s="112" t="str">
        <x:v>[펌]만화 콘티 능숙해지는 법</x:v>
      </x:c>
      <x:c r="F82" s="112" t="str">
        <x:v>웹툰작법</x:v>
      </x:c>
      <x:c r="G82" s="112" t="str">
        <x:v>웹툰 참고</x:v>
      </x:c>
      <x:c r="H82" s="112" t="str">
        <x:v>캐릭터·전개</x:v>
      </x:c>
      <x:c r="I82" s="112" t="n">
        <x:v>2</x:v>
      </x:c>
      <x:c r="J82" s="112" t="str">
        <x:v>인물, 대사</x:v>
      </x:c>
      <x:c r="K82" s="112" t="str">
        <x:v>재게시</x:v>
      </x:c>
      <x:c r="L82" s="112" t="str">
        <x:v>높음</x:v>
      </x:c>
      <x:c r="M82" s="112" t="str">
        <x:v>제목의 펌/퍼옴 표시</x:v>
      </x:c>
      <x:c r="N82" s="116" t="str">
        <x:v>https://gall.dcinside.com/mgallery/board/view/?id=cartoonist&amp;no=110757&amp;exception_mode=recommend&amp;page=1</x:v>
      </x:c>
      <x:c r="O82" s="116" t="str">
        <x:v>https://m.blog.naver.com/sntu2010/222612498585</x:v>
      </x:c>
      <x:c r="P82" s="112" t="str">
        <x:v>아니오</x:v>
      </x:c>
      <x:c r="Q82" s="113" t="str">
        <x:v>자동 분류·표본 검토 대상</x:v>
      </x:c>
    </x:row>
    <x:row r="83">
      <x:c r="A83" s="100" t="n">
        <x:v>82</x:v>
      </x:c>
      <x:c r="B83" s="101" t="n">
        <x:v>44565</x:v>
      </x:c>
      <x:c r="C83" s="102" t="n">
        <x:v>2022</x:v>
      </x:c>
      <x:c r="D83" s="103" t="str">
        <x:v>ID-222612487122</x:v>
      </x:c>
      <x:c r="E83" s="112" t="str">
        <x:v>[펌]내가 요즘에 하고 있는 크로키 방법</x:v>
      </x:c>
      <x:c r="F83" s="112" t="str">
        <x:v>웹툰작법</x:v>
      </x:c>
      <x:c r="G83" s="112" t="str">
        <x:v>웹툰 참고</x:v>
      </x:c>
      <x:c r="H83" s="112" t="str">
        <x:v>작법·상업성</x:v>
      </x:c>
      <x:c r="I83" s="112" t="n">
        <x:v>1</x:v>
      </x:c>
      <x:c r="J83" s="112" t="str">
        <x:v>작법</x:v>
      </x:c>
      <x:c r="K83" s="112" t="str">
        <x:v>재게시</x:v>
      </x:c>
      <x:c r="L83" s="112" t="str">
        <x:v>높음</x:v>
      </x:c>
      <x:c r="M83" s="112" t="str">
        <x:v>제목의 펌/퍼옴 표시</x:v>
      </x:c>
      <x:c r="N83" s="116" t="str">
        <x:v>https://gall.dcinside.com/mgallery/board/view/?id=drawing&amp;no=258357&amp;exception_mode=recommend&amp;search_head=110&amp;page=1</x:v>
      </x:c>
      <x:c r="O83" s="116" t="str">
        <x:v>https://m.blog.naver.com/sntu2010/222612487122</x:v>
      </x:c>
      <x:c r="P83" s="112" t="str">
        <x:v>아니오</x:v>
      </x:c>
      <x:c r="Q83" s="113" t="str">
        <x:v>자동 분류·표본 검토 대상</x:v>
      </x:c>
    </x:row>
    <x:row r="84">
      <x:c r="A84" s="100" t="n">
        <x:v>83</x:v>
      </x:c>
      <x:c r="B84" s="101" t="n">
        <x:v>44565</x:v>
      </x:c>
      <x:c r="C84" s="102" t="n">
        <x:v>2022</x:v>
      </x:c>
      <x:c r="D84" s="103" t="str">
        <x:v>ID-222612486638</x:v>
      </x:c>
      <x:c r="E84" s="112" t="str">
        <x:v>[펌]무지성으로 할수있는 크로키연습법</x:v>
      </x:c>
      <x:c r="F84" s="112" t="str">
        <x:v>웹툰작법</x:v>
      </x:c>
      <x:c r="G84" s="112" t="str">
        <x:v>웹툰 참고</x:v>
      </x:c>
      <x:c r="H84" s="112" t="str">
        <x:v>작법·상업성</x:v>
      </x:c>
      <x:c r="I84" s="112" t="n">
        <x:v>1</x:v>
      </x:c>
      <x:c r="J84" s="112" t="str">
        <x:v>작법</x:v>
      </x:c>
      <x:c r="K84" s="112" t="str">
        <x:v>재게시</x:v>
      </x:c>
      <x:c r="L84" s="112" t="str">
        <x:v>높음</x:v>
      </x:c>
      <x:c r="M84" s="112" t="str">
        <x:v>제목의 펌/퍼옴 표시</x:v>
      </x:c>
      <x:c r="N84" s="116" t="str">
        <x:v>https://gall.dcinside.com/mgallery/board/view/?id=drawing&amp;no=223475&amp;page=1</x:v>
      </x:c>
      <x:c r="O84" s="116" t="str">
        <x:v>https://m.blog.naver.com/sntu2010/222612486638</x:v>
      </x:c>
      <x:c r="P84" s="112" t="str">
        <x:v>아니오</x:v>
      </x:c>
      <x:c r="Q84" s="113" t="str">
        <x:v>자동 분류·표본 검토 대상</x:v>
      </x:c>
    </x:row>
    <x:row r="85">
      <x:c r="A85" s="100" t="n">
        <x:v>84</x:v>
      </x:c>
      <x:c r="B85" s="101" t="n">
        <x:v>44565</x:v>
      </x:c>
      <x:c r="C85" s="102" t="n">
        <x:v>2022</x:v>
      </x:c>
      <x:c r="D85" s="103" t="str">
        <x:v>ID-222612485792</x:v>
      </x:c>
      <x:c r="E85" s="112" t="str">
        <x:v>[펌]크로키하는 순서</x:v>
      </x:c>
      <x:c r="F85" s="112" t="str">
        <x:v>웹툰작법</x:v>
      </x:c>
      <x:c r="G85" s="112" t="str">
        <x:v>웹툰 참고</x:v>
      </x:c>
      <x:c r="H85" s="112" t="str">
        <x:v>작법·상업성</x:v>
      </x:c>
      <x:c r="I85" s="112" t="n">
        <x:v>1</x:v>
      </x:c>
      <x:c r="J85" s="112" t="str">
        <x:v>작법</x:v>
      </x:c>
      <x:c r="K85" s="112" t="str">
        <x:v>재게시</x:v>
      </x:c>
      <x:c r="L85" s="112" t="str">
        <x:v>높음</x:v>
      </x:c>
      <x:c r="M85" s="112" t="str">
        <x:v>제목의 펌/퍼옴 표시</x:v>
      </x:c>
      <x:c r="N85" s="116" t="str">
        <x:v>https://gall.dcinside.com/mgallery/board/view/?id=drawing&amp;no=182477</x:v>
      </x:c>
      <x:c r="O85" s="116" t="str">
        <x:v>https://m.blog.naver.com/sntu2010/222612485792</x:v>
      </x:c>
      <x:c r="P85" s="112" t="str">
        <x:v>아니오</x:v>
      </x:c>
      <x:c r="Q85" s="113" t="str">
        <x:v>자동 분류·표본 검토 대상</x:v>
      </x:c>
    </x:row>
    <x:row r="86">
      <x:c r="A86" s="100" t="n">
        <x:v>85</x:v>
      </x:c>
      <x:c r="B86" s="101" t="n">
        <x:v>44540</x:v>
      </x:c>
      <x:c r="C86" s="102" t="n">
        <x:v>2021</x:v>
      </x:c>
      <x:c r="D86" s="103" t="str">
        <x:v>ID-222591860251</x:v>
      </x:c>
      <x:c r="E86" s="112" t="str">
        <x:v>[펌]18시간 몰입의 법칙 / 피카소랑 폴 세잔이 그림을 잘 그렸던 이유</x:v>
      </x:c>
      <x:c r="F86" s="112" t="str">
        <x:v>웹툰작법</x:v>
      </x:c>
      <x:c r="G86" s="112" t="str">
        <x:v>웹툰 참고</x:v>
      </x:c>
      <x:c r="H86" s="112" t="str">
        <x:v>작법·상업성</x:v>
      </x:c>
      <x:c r="I86" s="112" t="n">
        <x:v>1</x:v>
      </x:c>
      <x:c r="J86" s="112" t="str">
        <x:v>작법</x:v>
      </x:c>
      <x:c r="K86" s="112" t="str">
        <x:v>재게시</x:v>
      </x:c>
      <x:c r="L86" s="112" t="str">
        <x:v>높음</x:v>
      </x:c>
      <x:c r="M86" s="112" t="str">
        <x:v>제목의 펌/퍼옴 표시</x:v>
      </x:c>
      <x:c r="N86" s="116" t="str">
        <x:v>https://gall.dcinside.com/mgallery/board/view/?id=drawing&amp;no=249755</x:v>
      </x:c>
      <x:c r="O86" s="116" t="str">
        <x:v>https://m.blog.naver.com/sntu2010/222591860251</x:v>
      </x:c>
      <x:c r="P86" s="112" t="str">
        <x:v>아니오</x:v>
      </x:c>
      <x:c r="Q86" s="113" t="str">
        <x:v>자동 분류·표본 검토 대상</x:v>
      </x:c>
    </x:row>
    <x:row r="87">
      <x:c r="A87" s="100" t="n">
        <x:v>86</x:v>
      </x:c>
      <x:c r="B87" s="101" t="n">
        <x:v>44529</x:v>
      </x:c>
      <x:c r="C87" s="102" t="n">
        <x:v>2021</x:v>
      </x:c>
      <x:c r="D87" s="103" t="str">
        <x:v>ID-222581646178</x:v>
      </x:c>
      <x:c r="E87" s="112" t="str">
        <x:v>[펌] 초보 작가들이 많이 하는 실수 - 플롯 짜는 법</x:v>
      </x:c>
      <x:c r="F87" s="112" t="str">
        <x:v>웹소작법</x:v>
      </x:c>
      <x:c r="G87" s="112" t="str">
        <x:v>웹소설 직접</x:v>
      </x:c>
      <x:c r="H87" s="112" t="str">
        <x:v>캐릭터·전개</x:v>
      </x:c>
      <x:c r="I87" s="112" t="n">
        <x:v>26</x:v>
      </x:c>
      <x:c r="J87" s="112" t="str">
        <x:v>플롯, 전개, 히로인, 인물, 에피소드</x:v>
      </x:c>
      <x:c r="K87" s="112" t="str">
        <x:v>재게시</x:v>
      </x:c>
      <x:c r="L87" s="112" t="str">
        <x:v>높음</x:v>
      </x:c>
      <x:c r="M87" s="112" t="str">
        <x:v>제목의 펌/퍼옴 표시</x:v>
      </x:c>
      <x:c r="N87" s="116" t="str">
        <x:v>https://gall.dcinside.com/mgallery/board/view/?id=tgijjdd&amp;no=557687&amp;exception_mode=recommend&amp;page=2</x:v>
      </x:c>
      <x:c r="O87" s="116" t="str">
        <x:v>https://m.blog.naver.com/sntu2010/222581646178</x:v>
      </x:c>
      <x:c r="P87" s="112" t="str">
        <x:v>예</x:v>
      </x:c>
      <x:c r="Q87" s="113" t="str">
        <x:v>자동 분류·표본 검토 대상</x:v>
      </x:c>
    </x:row>
    <x:row r="88">
      <x:c r="A88" s="100" t="n">
        <x:v>87</x:v>
      </x:c>
      <x:c r="B88" s="101" t="n">
        <x:v>44529</x:v>
      </x:c>
      <x:c r="C88" s="102" t="n">
        <x:v>2021</x:v>
      </x:c>
      <x:c r="D88" s="103" t="str">
        <x:v>ID-222581643981</x:v>
      </x:c>
      <x:c r="E88" s="112" t="str">
        <x:v>[펌] 4년 간 글을 써오며 느낀 소소한 팁</x:v>
      </x:c>
      <x:c r="F88" s="112" t="str">
        <x:v>웹소작법</x:v>
      </x:c>
      <x:c r="G88" s="112" t="str">
        <x:v>웹소설 직접</x:v>
      </x:c>
      <x:c r="H88" s="112" t="str">
        <x:v>캐릭터·전개</x:v>
      </x:c>
      <x:c r="I88" s="112" t="n">
        <x:v>6</x:v>
      </x:c>
      <x:c r="J88" s="112" t="str">
        <x:v>캐릭터, 전개</x:v>
      </x:c>
      <x:c r="K88" s="112" t="str">
        <x:v>재게시</x:v>
      </x:c>
      <x:c r="L88" s="112" t="str">
        <x:v>높음</x:v>
      </x:c>
      <x:c r="M88" s="112" t="str">
        <x:v>제목의 펌/퍼옴 표시</x:v>
      </x:c>
      <x:c r="N88" s="116" t="str">
        <x:v>https://gall.dcinside.com/mgallery/board/view/?id=tgijjdd&amp;no=560976&amp;exception_mode=recommend&amp;page=1</x:v>
      </x:c>
      <x:c r="O88" s="116" t="str">
        <x:v>https://m.blog.naver.com/sntu2010/222581643981</x:v>
      </x:c>
      <x:c r="P88" s="112" t="str">
        <x:v>예</x:v>
      </x:c>
      <x:c r="Q88" s="113" t="str">
        <x:v>자동 분류·표본 검토 대상</x:v>
      </x:c>
    </x:row>
    <x:row r="89">
      <x:c r="A89" s="100" t="n">
        <x:v>88</x:v>
      </x:c>
      <x:c r="B89" s="101" t="n">
        <x:v>44509</x:v>
      </x:c>
      <x:c r="C89" s="102" t="n">
        <x:v>2021</x:v>
      </x:c>
      <x:c r="D89" s="103" t="str">
        <x:v>ID-222563668623</x:v>
      </x:c>
      <x:c r="E89" s="112" t="str">
        <x:v>웹소설 작가가 마감을 하지 않으면 생기는 일</x:v>
      </x:c>
      <x:c r="F89" s="112" t="str">
        <x:v>웹소생각</x:v>
      </x:c>
      <x:c r="G89" s="112" t="str">
        <x:v>웹소설 직접</x:v>
      </x:c>
      <x:c r="H89" s="112" t="str">
        <x:v>수익·운영</x:v>
      </x:c>
      <x:c r="I89" s="112" t="n">
        <x:v>20</x:v>
      </x:c>
      <x:c r="J89" s="112" t="str">
        <x:v>마감</x:v>
      </x:c>
      <x:c r="K89" s="112" t="str">
        <x:v>외부자료 소개/재가공</x:v>
      </x:c>
      <x:c r="L89" s="112" t="str">
        <x:v>중간</x:v>
      </x:c>
      <x:c r="M89" s="112" t="str">
        <x:v>본문 앞부분의 외부 출처 URL</x:v>
      </x:c>
      <x:c r="N89" s="116" t="str">
        <x:v>https://youtu.be/pG7Oo7tzbys</x:v>
      </x:c>
      <x:c r="O89" s="116" t="str">
        <x:v>https://m.blog.naver.com/sntu2010/222563668623</x:v>
      </x:c>
      <x:c r="P89" s="112" t="str">
        <x:v>예</x:v>
      </x:c>
      <x:c r="Q89" s="113" t="str">
        <x:v>자동 분류·표본 검토 대상</x:v>
      </x:c>
    </x:row>
    <x:row r="90">
      <x:c r="A90" s="100" t="n">
        <x:v>89</x:v>
      </x:c>
      <x:c r="B90" s="101" t="n">
        <x:v>44405</x:v>
      </x:c>
      <x:c r="C90" s="102" t="n">
        <x:v>2021</x:v>
      </x:c>
      <x:c r="D90" s="103" t="str">
        <x:v>ID-222448411229</x:v>
      </x:c>
      <x:c r="E90" s="112" t="str">
        <x:v>Q. 신인 작가가 현실적으로 벌 수 있는 금액은?</x:v>
      </x:c>
      <x:c r="F90" s="112" t="str">
        <x:v>웹소생각</x:v>
      </x:c>
      <x:c r="G90" s="112" t="str">
        <x:v>웹소설 직접</x:v>
      </x:c>
      <x:c r="H90" s="112" t="str">
        <x:v>수익·운영</x:v>
      </x:c>
      <x:c r="I90" s="112" t="n">
        <x:v>23</x:v>
      </x:c>
      <x:c r="J90" s="112" t="str">
        <x:v>금액, 수입</x:v>
      </x:c>
      <x:c r="K90" s="112" t="str">
        <x:v>본인 작성/의견 추정</x:v>
      </x:c>
      <x:c r="L90" s="112" t="str">
        <x:v>낮음</x:v>
      </x:c>
      <x:c r="M90" s="112" t="str">
        <x:v>재게시 표시는 없으나 저자성 직접 증거 부족</x:v>
      </x:c>
      <x:c r="N90" s="116" t="str"/>
      <x:c r="O90" s="116" t="str">
        <x:v>https://m.blog.naver.com/sntu2010/222448411229</x:v>
      </x:c>
      <x:c r="P90" s="112" t="str">
        <x:v>예</x:v>
      </x:c>
      <x:c r="Q90" s="113" t="str">
        <x:v>자동 분류·표본 검토 대상</x:v>
      </x:c>
    </x:row>
    <x:row r="91">
      <x:c r="A91" s="100" t="n">
        <x:v>90</x:v>
      </x:c>
      <x:c r="B91" s="101" t="n">
        <x:v>44404</x:v>
      </x:c>
      <x:c r="C91" s="102" t="n">
        <x:v>2021</x:v>
      </x:c>
      <x:c r="D91" s="103" t="str">
        <x:v>ID-222447794230</x:v>
      </x:c>
      <x:c r="E91" s="112" t="str">
        <x:v>[펌]웹소설에서의 스토리와 캐빨, 재미란</x:v>
      </x:c>
      <x:c r="F91" s="112" t="str">
        <x:v>웹소작법</x:v>
      </x:c>
      <x:c r="G91" s="112" t="str">
        <x:v>웹소설 직접</x:v>
      </x:c>
      <x:c r="H91" s="112" t="str">
        <x:v>작법·상업성</x:v>
      </x:c>
      <x:c r="I91" s="112" t="n">
        <x:v>24</x:v>
      </x:c>
      <x:c r="J91" s="112" t="str">
        <x:v>재미, 독자, 작법</x:v>
      </x:c>
      <x:c r="K91" s="112" t="str">
        <x:v>재게시</x:v>
      </x:c>
      <x:c r="L91" s="112" t="str">
        <x:v>높음</x:v>
      </x:c>
      <x:c r="M91" s="112" t="str">
        <x:v>제목의 펌/퍼옴 표시</x:v>
      </x:c>
      <x:c r="N91" s="116" t="str">
        <x:v>https://gall.dcinside.com/mgallery/board/view/?id=tgijjdd&amp;no=506712&amp;exception_mode=recommend&amp;search_head=30&amp;page=1</x:v>
      </x:c>
      <x:c r="O91" s="116" t="str">
        <x:v>https://m.blog.naver.com/sntu2010/222447794230</x:v>
      </x:c>
      <x:c r="P91" s="112" t="str">
        <x:v>예</x:v>
      </x:c>
      <x:c r="Q91" s="113" t="str">
        <x:v>자동 분류·표본 검토 대상</x:v>
      </x:c>
    </x:row>
    <x:row r="92">
      <x:c r="A92" s="100" t="n">
        <x:v>91</x:v>
      </x:c>
      <x:c r="B92" s="101" t="n">
        <x:v>44404</x:v>
      </x:c>
      <x:c r="C92" s="102" t="n">
        <x:v>2021</x:v>
      </x:c>
      <x:c r="D92" s="103" t="str">
        <x:v>ID-222447792805</x:v>
      </x:c>
      <x:c r="E92" s="112" t="str">
        <x:v>[펌]작명은 어떻게 해야 자연스럽게 할 수 있는 지 공유함</x:v>
      </x:c>
      <x:c r="F92" s="112" t="str">
        <x:v>웹소작법</x:v>
      </x:c>
      <x:c r="G92" s="112" t="str">
        <x:v>웹소설 직접</x:v>
      </x:c>
      <x:c r="H92" s="112" t="str">
        <x:v>작법·상업성</x:v>
      </x:c>
      <x:c r="I92" s="112" t="n">
        <x:v>1</x:v>
      </x:c>
      <x:c r="J92" s="112" t="str">
        <x:v>작법</x:v>
      </x:c>
      <x:c r="K92" s="112" t="str">
        <x:v>재게시</x:v>
      </x:c>
      <x:c r="L92" s="112" t="str">
        <x:v>높음</x:v>
      </x:c>
      <x:c r="M92" s="112" t="str">
        <x:v>제목의 펌/퍼옴 표시</x:v>
      </x:c>
      <x:c r="N92" s="116" t="str">
        <x:v>https://gall.dcinside.com/mgallery/board/view/?id=tgijjdd&amp;no=511059&amp;exception_mode=recommend&amp;search_head=30&amp;page=1</x:v>
      </x:c>
      <x:c r="O92" s="116" t="str">
        <x:v>https://m.blog.naver.com/sntu2010/222447792805</x:v>
      </x:c>
      <x:c r="P92" s="112" t="str">
        <x:v>아니오</x:v>
      </x:c>
      <x:c r="Q92" s="113" t="str">
        <x:v>자동 분류·표본 검토 대상</x:v>
      </x:c>
    </x:row>
    <x:row r="93">
      <x:c r="A93" s="100" t="n">
        <x:v>92</x:v>
      </x:c>
      <x:c r="B93" s="101" t="n">
        <x:v>44404</x:v>
      </x:c>
      <x:c r="C93" s="102" t="n">
        <x:v>2021</x:v>
      </x:c>
      <x:c r="D93" s="103" t="str">
        <x:v>ID-222447791652</x:v>
      </x:c>
      <x:c r="E93" s="112" t="str">
        <x:v>[펌]인물의 성격형성이나 갈등의 원인이 될 수 있는 사건 목록</x:v>
      </x:c>
      <x:c r="F93" s="112" t="str">
        <x:v>웹소작법</x:v>
      </x:c>
      <x:c r="G93" s="112" t="str">
        <x:v>웹소설 직접</x:v>
      </x:c>
      <x:c r="H93" s="112" t="str">
        <x:v>캐릭터·전개</x:v>
      </x:c>
      <x:c r="I93" s="112" t="n">
        <x:v>62</x:v>
      </x:c>
      <x:c r="J93" s="112" t="str">
        <x:v>인물, 갈등, 사건, 관계</x:v>
      </x:c>
      <x:c r="K93" s="112" t="str">
        <x:v>재게시</x:v>
      </x:c>
      <x:c r="L93" s="112" t="str">
        <x:v>높음</x:v>
      </x:c>
      <x:c r="M93" s="112" t="str">
        <x:v>제목의 펌/퍼옴 표시</x:v>
      </x:c>
      <x:c r="N93" s="116" t="str">
        <x:v>https://gall.dcinside.com/mgallery/board/view/?id=tgijjdd&amp;no=509790&amp;exception_mode=recommend&amp;search_head=30&amp;page=1</x:v>
      </x:c>
      <x:c r="O93" s="116" t="str">
        <x:v>https://m.blog.naver.com/sntu2010/222447791652</x:v>
      </x:c>
      <x:c r="P93" s="112" t="str">
        <x:v>예</x:v>
      </x:c>
      <x:c r="Q93" s="113" t="str">
        <x:v>자동 분류·표본 검토 대상</x:v>
      </x:c>
    </x:row>
    <x:row r="94">
      <x:c r="A94" s="100" t="n">
        <x:v>93</x:v>
      </x:c>
      <x:c r="B94" s="101" t="n">
        <x:v>44404</x:v>
      </x:c>
      <x:c r="C94" s="102" t="n">
        <x:v>2021</x:v>
      </x:c>
      <x:c r="D94" s="103" t="str">
        <x:v>ID-222447790975</x:v>
      </x:c>
      <x:c r="E94" s="112" t="str">
        <x:v>[펌]글을 쓰면 캐릭터 일관성을 꼭 지켜라</x:v>
      </x:c>
      <x:c r="F94" s="112" t="str">
        <x:v>웹소작법</x:v>
      </x:c>
      <x:c r="G94" s="112" t="str">
        <x:v>웹소설 직접</x:v>
      </x:c>
      <x:c r="H94" s="112" t="str">
        <x:v>캐릭터·전개</x:v>
      </x:c>
      <x:c r="I94" s="112" t="n">
        <x:v>24</x:v>
      </x:c>
      <x:c r="J94" s="112" t="str">
        <x:v>캐릭터</x:v>
      </x:c>
      <x:c r="K94" s="112" t="str">
        <x:v>재게시</x:v>
      </x:c>
      <x:c r="L94" s="112" t="str">
        <x:v>높음</x:v>
      </x:c>
      <x:c r="M94" s="112" t="str">
        <x:v>제목의 펌/퍼옴 표시</x:v>
      </x:c>
      <x:c r="N94" s="116" t="str">
        <x:v>https://gall.dcinside.com/mgallery/board/view/?id=tgijjdd&amp;no=504778&amp;exception_mode=recommend&amp;search_head=30&amp;page=1</x:v>
      </x:c>
      <x:c r="O94" s="116" t="str">
        <x:v>https://m.blog.naver.com/sntu2010/222447790975</x:v>
      </x:c>
      <x:c r="P94" s="112" t="str">
        <x:v>예</x:v>
      </x:c>
      <x:c r="Q94" s="113" t="str">
        <x:v>자동 분류·표본 검토 대상</x:v>
      </x:c>
    </x:row>
    <x:row r="95">
      <x:c r="A95" s="100" t="n">
        <x:v>94</x:v>
      </x:c>
      <x:c r="B95" s="101" t="n">
        <x:v>44404</x:v>
      </x:c>
      <x:c r="C95" s="102" t="n">
        <x:v>2021</x:v>
      </x:c>
      <x:c r="D95" s="103" t="str">
        <x:v>ID-222447789971</x:v>
      </x:c>
      <x:c r="E95" s="112" t="str">
        <x:v>[펌]혼란한 틈을 타 풀어보는 개인적인 팁</x:v>
      </x:c>
      <x:c r="F95" s="112" t="str">
        <x:v>웹소작법</x:v>
      </x:c>
      <x:c r="G95" s="112" t="str">
        <x:v>웹소설 직접</x:v>
      </x:c>
      <x:c r="H95" s="112" t="str">
        <x:v>캐릭터·전개</x:v>
      </x:c>
      <x:c r="I95" s="112" t="n">
        <x:v>4</x:v>
      </x:c>
      <x:c r="J95" s="112" t="str">
        <x:v>플롯, 전개, 캐릭터</x:v>
      </x:c>
      <x:c r="K95" s="112" t="str">
        <x:v>재게시</x:v>
      </x:c>
      <x:c r="L95" s="112" t="str">
        <x:v>높음</x:v>
      </x:c>
      <x:c r="M95" s="112" t="str">
        <x:v>제목의 펌/퍼옴 표시</x:v>
      </x:c>
      <x:c r="N95" s="116" t="str">
        <x:v>https://gall.dcinside.com/mgallery/board/view/?id=tgijjdd&amp;no=504709&amp;exception_mode=recommend&amp;search_head=30&amp;page=1</x:v>
      </x:c>
      <x:c r="O95" s="116" t="str">
        <x:v>https://m.blog.naver.com/sntu2010/222447789971</x:v>
      </x:c>
      <x:c r="P95" s="112" t="str">
        <x:v>아니오</x:v>
      </x:c>
      <x:c r="Q95" s="113" t="str">
        <x:v>자동 분류·표본 검토 대상</x:v>
      </x:c>
    </x:row>
    <x:row r="96">
      <x:c r="A96" s="100" t="n">
        <x:v>95</x:v>
      </x:c>
      <x:c r="B96" s="101" t="n">
        <x:v>44404</x:v>
      </x:c>
      <x:c r="C96" s="102" t="n">
        <x:v>2021</x:v>
      </x:c>
      <x:c r="D96" s="103" t="str">
        <x:v>ID-222447787855</x:v>
      </x:c>
      <x:c r="E96" s="112" t="str">
        <x:v>[펌]지망생 시절의 무료 연재는 영점 잡는 거랑 비슷해요</x:v>
      </x:c>
      <x:c r="F96" s="112" t="str">
        <x:v>웹소작법</x:v>
      </x:c>
      <x:c r="G96" s="112" t="str">
        <x:v>웹소설 직접</x:v>
      </x:c>
      <x:c r="H96" s="112" t="str">
        <x:v>초반부/연독률</x:v>
      </x:c>
      <x:c r="I96" s="112" t="n">
        <x:v>20</x:v>
      </x:c>
      <x:c r="J96" s="112" t="str">
        <x:v>무료 연재</x:v>
      </x:c>
      <x:c r="K96" s="112" t="str">
        <x:v>재게시</x:v>
      </x:c>
      <x:c r="L96" s="112" t="str">
        <x:v>높음</x:v>
      </x:c>
      <x:c r="M96" s="112" t="str">
        <x:v>제목의 펌/퍼옴 표시</x:v>
      </x:c>
      <x:c r="N96" s="116" t="str">
        <x:v>https://gall.dcinside.com/mgallery/board/view/?id=tgijjdd&amp;no=491970&amp;exception_mode=recommend&amp;search_head=30&amp;page=1</x:v>
      </x:c>
      <x:c r="O96" s="116" t="str">
        <x:v>https://m.blog.naver.com/sntu2010/222447787855</x:v>
      </x:c>
      <x:c r="P96" s="112" t="str">
        <x:v>예</x:v>
      </x:c>
      <x:c r="Q96" s="113" t="str">
        <x:v>자동 분류·표본 검토 대상</x:v>
      </x:c>
    </x:row>
    <x:row r="97">
      <x:c r="A97" s="100" t="n">
        <x:v>96</x:v>
      </x:c>
      <x:c r="B97" s="101" t="n">
        <x:v>44404</x:v>
      </x:c>
      <x:c r="C97" s="102" t="n">
        <x:v>2021</x:v>
      </x:c>
      <x:c r="D97" s="103" t="str">
        <x:v>ID-222447787075</x:v>
      </x:c>
      <x:c r="E97" s="112" t="str">
        <x:v>[펌]긴 문장을 쓴다는 것에 대해</x:v>
      </x:c>
      <x:c r="F97" s="112" t="str">
        <x:v>웹소작법</x:v>
      </x:c>
      <x:c r="G97" s="112" t="str">
        <x:v>웹소설 직접</x:v>
      </x:c>
      <x:c r="H97" s="112" t="str">
        <x:v>작법·상업성</x:v>
      </x:c>
      <x:c r="I97" s="112" t="n">
        <x:v>27</x:v>
      </x:c>
      <x:c r="J97" s="112" t="str">
        <x:v>문장, 묘사, 작법</x:v>
      </x:c>
      <x:c r="K97" s="112" t="str">
        <x:v>재게시</x:v>
      </x:c>
      <x:c r="L97" s="112" t="str">
        <x:v>높음</x:v>
      </x:c>
      <x:c r="M97" s="112" t="str">
        <x:v>제목의 펌/퍼옴 표시</x:v>
      </x:c>
      <x:c r="N97" s="116" t="str">
        <x:v>https://gall.dcinside.com/mgallery/board/view/?id=tgijjdd&amp;no=479719&amp;exception_mode=recommend&amp;search_head=30&amp;page=1</x:v>
      </x:c>
      <x:c r="O97" s="116" t="str">
        <x:v>https://m.blog.naver.com/sntu2010/222447787075</x:v>
      </x:c>
      <x:c r="P97" s="112" t="str">
        <x:v>예</x:v>
      </x:c>
      <x:c r="Q97" s="113" t="str">
        <x:v>자동 분류·표본 검토 대상</x:v>
      </x:c>
    </x:row>
    <x:row r="98">
      <x:c r="A98" s="100" t="n">
        <x:v>97</x:v>
      </x:c>
      <x:c r="B98" s="101" t="n">
        <x:v>44404</x:v>
      </x:c>
      <x:c r="C98" s="102" t="n">
        <x:v>2021</x:v>
      </x:c>
      <x:c r="D98" s="103" t="str">
        <x:v>ID-222447786361</x:v>
      </x:c>
      <x:c r="E98" s="112" t="str">
        <x:v>[펌]최신화를 잘못올렸을때 삭제보다는 수정해야 되는 이유</x:v>
      </x:c>
      <x:c r="F98" s="112" t="str">
        <x:v>웹소작법</x:v>
      </x:c>
      <x:c r="G98" s="112" t="str">
        <x:v>웹소설 직접</x:v>
      </x:c>
      <x:c r="H98" s="112" t="str">
        <x:v>초반부/연독률</x:v>
      </x:c>
      <x:c r="I98" s="112" t="n">
        <x:v>6</x:v>
      </x:c>
      <x:c r="J98" s="112" t="str">
        <x:v>3화, 유료화, 유입, 연독</x:v>
      </x:c>
      <x:c r="K98" s="112" t="str">
        <x:v>재게시</x:v>
      </x:c>
      <x:c r="L98" s="112" t="str">
        <x:v>높음</x:v>
      </x:c>
      <x:c r="M98" s="112" t="str">
        <x:v>제목의 펌/퍼옴 표시</x:v>
      </x:c>
      <x:c r="N98" s="116" t="str">
        <x:v>https://gall.dcinside.com/mgallery/board/view/?id=tgijjdd&amp;no=479586&amp;exception_mode=recommend&amp;search_head=30&amp;page=1</x:v>
      </x:c>
      <x:c r="O98" s="116" t="str">
        <x:v>https://m.blog.naver.com/sntu2010/222447786361</x:v>
      </x:c>
      <x:c r="P98" s="112" t="str">
        <x:v>예</x:v>
      </x:c>
      <x:c r="Q98" s="113" t="str">
        <x:v>자동 분류·표본 검토 대상</x:v>
      </x:c>
    </x:row>
    <x:row r="99">
      <x:c r="A99" s="100" t="n">
        <x:v>98</x:v>
      </x:c>
      <x:c r="B99" s="101" t="n">
        <x:v>44404</x:v>
      </x:c>
      <x:c r="C99" s="102" t="n">
        <x:v>2021</x:v>
      </x:c>
      <x:c r="D99" s="103" t="str">
        <x:v>ID-222447784502</x:v>
      </x:c>
      <x:c r="E99" s="112" t="str">
        <x:v>[펌] -소설이 막힐 때 체크해야하는 팁-</x:v>
      </x:c>
      <x:c r="F99" s="112" t="str">
        <x:v>웹소작법</x:v>
      </x:c>
      <x:c r="G99" s="112" t="str">
        <x:v>웹소설 직접</x:v>
      </x:c>
      <x:c r="H99" s="112" t="str">
        <x:v>캐릭터·전개</x:v>
      </x:c>
      <x:c r="I99" s="112" t="n">
        <x:v>6</x:v>
      </x:c>
      <x:c r="J99" s="112" t="str">
        <x:v>주인공, 조연, 악역</x:v>
      </x:c>
      <x:c r="K99" s="112" t="str">
        <x:v>재게시</x:v>
      </x:c>
      <x:c r="L99" s="112" t="str">
        <x:v>높음</x:v>
      </x:c>
      <x:c r="M99" s="112" t="str">
        <x:v>제목의 펌/퍼옴 표시</x:v>
      </x:c>
      <x:c r="N99" s="116" t="str">
        <x:v>https://gall.dcinside.com/mgallery/board/view/?id=tgijjdd&amp;no=464388&amp;exception_mode=recommend&amp;search_head=30&amp;page=1</x:v>
      </x:c>
      <x:c r="O99" s="116" t="str">
        <x:v>https://m.blog.naver.com/sntu2010/222447784502</x:v>
      </x:c>
      <x:c r="P99" s="112" t="str">
        <x:v>예</x:v>
      </x:c>
      <x:c r="Q99" s="113" t="str">
        <x:v>자동 분류·표본 검토 대상</x:v>
      </x:c>
    </x:row>
    <x:row r="100">
      <x:c r="A100" s="100" t="n">
        <x:v>99</x:v>
      </x:c>
      <x:c r="B100" s="101" t="n">
        <x:v>44404</x:v>
      </x:c>
      <x:c r="C100" s="102" t="n">
        <x:v>2021</x:v>
      </x:c>
      <x:c r="D100" s="103" t="str">
        <x:v>ID-222447783818</x:v>
      </x:c>
      <x:c r="E100" s="112" t="str">
        <x:v>[펌]투베 전 지표는 50퍼 감소 시점만 보면 됨</x:v>
      </x:c>
      <x:c r="F100" s="112" t="str">
        <x:v>웹소작법</x:v>
      </x:c>
      <x:c r="G100" s="112" t="str">
        <x:v>웹소설 직접</x:v>
      </x:c>
      <x:c r="H100" s="112" t="str">
        <x:v>캐릭터·전개</x:v>
      </x:c>
      <x:c r="I100" s="112" t="n">
        <x:v>20</x:v>
      </x:c>
      <x:c r="J100" s="112" t="str">
        <x:v>시점</x:v>
      </x:c>
      <x:c r="K100" s="112" t="str">
        <x:v>재게시</x:v>
      </x:c>
      <x:c r="L100" s="112" t="str">
        <x:v>높음</x:v>
      </x:c>
      <x:c r="M100" s="112" t="str">
        <x:v>제목의 펌/퍼옴 표시</x:v>
      </x:c>
      <x:c r="N100" s="116" t="str">
        <x:v>https://gall.dcinside.com/mgallery/board/view/?id=tgijjdd&amp;no=455245&amp;exception_mode=recommend&amp;search_head=30&amp;page=1</x:v>
      </x:c>
      <x:c r="O100" s="116" t="str">
        <x:v>https://m.blog.naver.com/sntu2010/222447783818</x:v>
      </x:c>
      <x:c r="P100" s="112" t="str">
        <x:v>예</x:v>
      </x:c>
      <x:c r="Q100" s="113" t="str">
        <x:v>자동 분류·표본 검토 대상</x:v>
      </x:c>
    </x:row>
    <x:row r="101">
      <x:c r="A101" s="100" t="n">
        <x:v>100</x:v>
      </x:c>
      <x:c r="B101" s="101" t="n">
        <x:v>44397</x:v>
      </x:c>
      <x:c r="C101" s="102" t="n">
        <x:v>2021</x:v>
      </x:c>
      <x:c r="D101" s="103" t="str">
        <x:v>ID-222438150570</x:v>
      </x:c>
      <x:c r="E101" s="112" t="str">
        <x:v>[펌]진짜 중요한 건 마음가짐이다</x:v>
      </x:c>
      <x:c r="F101" s="112" t="str">
        <x:v>웹소작법</x:v>
      </x:c>
      <x:c r="G101" s="112" t="str">
        <x:v>웹소설 직접</x:v>
      </x:c>
      <x:c r="H101" s="112" t="str">
        <x:v>작법·상업성</x:v>
      </x:c>
      <x:c r="I101" s="112" t="n">
        <x:v>1</x:v>
      </x:c>
      <x:c r="J101" s="112" t="str">
        <x:v>작법</x:v>
      </x:c>
      <x:c r="K101" s="112" t="str">
        <x:v>재게시</x:v>
      </x:c>
      <x:c r="L101" s="112" t="str">
        <x:v>높음</x:v>
      </x:c>
      <x:c r="M101" s="112" t="str">
        <x:v>제목의 펌/퍼옴 표시</x:v>
      </x:c>
      <x:c r="N101" s="116" t="str">
        <x:v>https://gall.dcinside.com/mgallery/board/view/?id=tgijjdd&amp;no=504184&amp;s_type=search_subject_memo&amp;s_keyword=%EC%82%AC%EB%AC%B4%EC%8B%A4&amp;page=1</x:v>
      </x:c>
      <x:c r="O101" s="116" t="str">
        <x:v>https://m.blog.naver.com/sntu2010/222438150570</x:v>
      </x:c>
      <x:c r="P101" s="112" t="str">
        <x:v>아니오</x:v>
      </x:c>
      <x:c r="Q101" s="113" t="str">
        <x:v>자동 분류·표본 검토 대상</x:v>
      </x:c>
    </x:row>
    <x:row r="102">
      <x:c r="A102" s="100" t="n">
        <x:v>101</x:v>
      </x:c>
      <x:c r="B102" s="101" t="n">
        <x:v>44388</x:v>
      </x:c>
      <x:c r="C102" s="102" t="n">
        <x:v>2021</x:v>
      </x:c>
      <x:c r="D102" s="103" t="str">
        <x:v>ID-222427538873</x:v>
      </x:c>
      <x:c r="E102" s="112" t="str">
        <x:v>Q. 조아라 작품 설명란에 이메일을 적어두는 이유?</x:v>
      </x:c>
      <x:c r="F102" s="112" t="str">
        <x:v>웹소생각</x:v>
      </x:c>
      <x:c r="G102" s="112" t="str">
        <x:v>웹소설 직접</x:v>
      </x:c>
      <x:c r="H102" s="112" t="str">
        <x:v>플랫폼·투고·계약</x:v>
      </x:c>
      <x:c r="I102" s="112" t="n">
        <x:v>28</x:v>
      </x:c>
      <x:c r="J102" s="112" t="str">
        <x:v>조아라, 플랫폼, 계약, 매니지, 문피아, 카카오, 네이버</x:v>
      </x:c>
      <x:c r="K102" s="112" t="str">
        <x:v>본인 작성/의견 추정</x:v>
      </x:c>
      <x:c r="L102" s="112" t="str">
        <x:v>낮음</x:v>
      </x:c>
      <x:c r="M102" s="112" t="str">
        <x:v>재게시 표시는 없으나 저자성 직접 증거 부족</x:v>
      </x:c>
      <x:c r="N102" s="116" t="str"/>
      <x:c r="O102" s="116" t="str">
        <x:v>https://m.blog.naver.com/sntu2010/222427538873</x:v>
      </x:c>
      <x:c r="P102" s="112" t="str">
        <x:v>예</x:v>
      </x:c>
      <x:c r="Q102" s="113" t="str">
        <x:v>자동 분류·표본 검토 대상</x:v>
      </x:c>
    </x:row>
    <x:row r="103">
      <x:c r="A103" s="100" t="n">
        <x:v>102</x:v>
      </x:c>
      <x:c r="B103" s="101" t="n">
        <x:v>44387</x:v>
      </x:c>
      <x:c r="C103" s="102" t="n">
        <x:v>2021</x:v>
      </x:c>
      <x:c r="D103" s="103" t="str">
        <x:v>ID-222426614039</x:v>
      </x:c>
      <x:c r="E103" s="112" t="str">
        <x:v>구상을 어디까지 하고 글 쓰기 시작할까?</x:v>
      </x:c>
      <x:c r="F103" s="112" t="str">
        <x:v>웹소생각</x:v>
      </x:c>
      <x:c r="G103" s="112" t="str">
        <x:v>웹소설 직접</x:v>
      </x:c>
      <x:c r="H103" s="112" t="str">
        <x:v>캐릭터·전개</x:v>
      </x:c>
      <x:c r="I103" s="112" t="n">
        <x:v>4</x:v>
      </x:c>
      <x:c r="J103" s="112" t="str">
        <x:v>인물, 에피소드, 주인공</x:v>
      </x:c>
      <x:c r="K103" s="112" t="str">
        <x:v>본인 경험담 추정</x:v>
      </x:c>
      <x:c r="L103" s="112" t="str">
        <x:v>중간</x:v>
      </x:c>
      <x:c r="M103" s="112" t="str">
        <x:v>1인칭 경험·작품·계약 표현</x:v>
      </x:c>
      <x:c r="N103" s="116" t="str"/>
      <x:c r="O103" s="116" t="str">
        <x:v>https://m.blog.naver.com/sntu2010/222426614039</x:v>
      </x:c>
      <x:c r="P103" s="112" t="str">
        <x:v>아니오</x:v>
      </x:c>
      <x:c r="Q103" s="113" t="str">
        <x:v>자동 분류·표본 검토 대상</x:v>
      </x:c>
    </x:row>
    <x:row r="104">
      <x:c r="A104" s="100" t="n">
        <x:v>103</x:v>
      </x:c>
      <x:c r="B104" s="101" t="n">
        <x:v>44387</x:v>
      </x:c>
      <x:c r="C104" s="102" t="n">
        <x:v>2021</x:v>
      </x:c>
      <x:c r="D104" s="103" t="str">
        <x:v>ID-222426568315</x:v>
      </x:c>
      <x:c r="E104" s="112" t="str">
        <x:v>글럼프를 극복하는 몇가지 방법</x:v>
      </x:c>
      <x:c r="F104" s="112" t="str">
        <x:v>웹소생각</x:v>
      </x:c>
      <x:c r="G104" s="112" t="str">
        <x:v>웹소설 직접</x:v>
      </x:c>
      <x:c r="H104" s="112" t="str">
        <x:v>초반부/연독률</x:v>
      </x:c>
      <x:c r="I104" s="112" t="n">
        <x:v>3</x:v>
      </x:c>
      <x:c r="J104" s="112" t="str">
        <x:v>무료 연재</x:v>
      </x:c>
      <x:c r="K104" s="112" t="str">
        <x:v>본인 작성/의견 추정</x:v>
      </x:c>
      <x:c r="L104" s="112" t="str">
        <x:v>낮음</x:v>
      </x:c>
      <x:c r="M104" s="112" t="str">
        <x:v>재게시 표시는 없으나 저자성 직접 증거 부족</x:v>
      </x:c>
      <x:c r="N104" s="116" t="str"/>
      <x:c r="O104" s="116" t="str">
        <x:v>https://m.blog.naver.com/sntu2010/222426568315</x:v>
      </x:c>
      <x:c r="P104" s="112" t="str">
        <x:v>아니오</x:v>
      </x:c>
      <x:c r="Q104" s="113" t="str">
        <x:v>자동 분류·표본 검토 대상</x:v>
      </x:c>
    </x:row>
    <x:row r="105">
      <x:c r="A105" s="100" t="n">
        <x:v>104</x:v>
      </x:c>
      <x:c r="B105" s="101" t="n">
        <x:v>44382</x:v>
      </x:c>
      <x:c r="C105" s="102" t="n">
        <x:v>2021</x:v>
      </x:c>
      <x:c r="D105" s="103" t="str">
        <x:v>ID-222420770151</x:v>
      </x:c>
      <x:c r="E105" s="112" t="str">
        <x:v>[펌]기본기도 부족하고 필력도 별론데 글먹하는 경우를 보면</x:v>
      </x:c>
      <x:c r="F105" s="112" t="str">
        <x:v>웹소작법</x:v>
      </x:c>
      <x:c r="G105" s="112" t="str">
        <x:v>웹소설 직접</x:v>
      </x:c>
      <x:c r="H105" s="112" t="str">
        <x:v>작법·상업성</x:v>
      </x:c>
      <x:c r="I105" s="112" t="n">
        <x:v>8</x:v>
      </x:c>
      <x:c r="J105" s="112" t="str">
        <x:v>소재, 독자, 재미, 흥행, 묘사, 작법</x:v>
      </x:c>
      <x:c r="K105" s="112" t="str">
        <x:v>재게시</x:v>
      </x:c>
      <x:c r="L105" s="112" t="str">
        <x:v>높음</x:v>
      </x:c>
      <x:c r="M105" s="112" t="str">
        <x:v>제목의 펌/퍼옴 표시</x:v>
      </x:c>
      <x:c r="N105" s="116" t="str">
        <x:v>https://gall.dcinside.com/mgallery/board/view/?id=tgijjdd&amp;no=495495&amp;exception_mode=recommend&amp;page=11</x:v>
      </x:c>
      <x:c r="O105" s="116" t="str">
        <x:v>https://m.blog.naver.com/sntu2010/222420770151</x:v>
      </x:c>
      <x:c r="P105" s="112" t="str">
        <x:v>예</x:v>
      </x:c>
      <x:c r="Q105" s="113" t="str">
        <x:v>자동 분류·표본 검토 대상</x:v>
      </x:c>
    </x:row>
    <x:row r="106">
      <x:c r="A106" s="100" t="n">
        <x:v>105</x:v>
      </x:c>
      <x:c r="B106" s="101" t="n">
        <x:v>44382</x:v>
      </x:c>
      <x:c r="C106" s="102" t="n">
        <x:v>2021</x:v>
      </x:c>
      <x:c r="D106" s="103" t="str">
        <x:v>ID-222420759368</x:v>
      </x:c>
      <x:c r="E106" s="112" t="str">
        <x:v>[펌]절대 실패하지 않는 웹소설 공부법</x:v>
      </x:c>
      <x:c r="F106" s="112" t="str">
        <x:v>웹소작법</x:v>
      </x:c>
      <x:c r="G106" s="112" t="str">
        <x:v>웹소설 직접</x:v>
      </x:c>
      <x:c r="H106" s="112" t="str">
        <x:v>캐릭터·전개</x:v>
      </x:c>
      <x:c r="I106" s="112" t="n">
        <x:v>5</x:v>
      </x:c>
      <x:c r="J106" s="112" t="str">
        <x:v>플롯, 전개, 캐릭터, 에피소드</x:v>
      </x:c>
      <x:c r="K106" s="112" t="str">
        <x:v>재게시</x:v>
      </x:c>
      <x:c r="L106" s="112" t="str">
        <x:v>높음</x:v>
      </x:c>
      <x:c r="M106" s="112" t="str">
        <x:v>제목의 펌/퍼옴 표시</x:v>
      </x:c>
      <x:c r="N106" s="116" t="str">
        <x:v>https://gall.dcinside.com/mgallery/board/view/?id=tgijjdd&amp;no=497144&amp;exception_mode=recommend&amp;page=10</x:v>
      </x:c>
      <x:c r="O106" s="116" t="str">
        <x:v>https://m.blog.naver.com/sntu2010/222420759368</x:v>
      </x:c>
      <x:c r="P106" s="112" t="str">
        <x:v>아니오</x:v>
      </x:c>
      <x:c r="Q106" s="113" t="str">
        <x:v>자동 분류·표본 검토 대상</x:v>
      </x:c>
    </x:row>
    <x:row r="107">
      <x:c r="A107" s="100" t="n">
        <x:v>106</x:v>
      </x:c>
      <x:c r="B107" s="101" t="n">
        <x:v>44382</x:v>
      </x:c>
      <x:c r="C107" s="102" t="n">
        <x:v>2021</x:v>
      </x:c>
      <x:c r="D107" s="103" t="str">
        <x:v>ID-222420751710</x:v>
      </x:c>
      <x:c r="E107" s="112" t="str">
        <x:v>[펌]긴 문장을 쓴다는 것에 대해</x:v>
      </x:c>
      <x:c r="F107" s="112" t="str">
        <x:v>웹소작법</x:v>
      </x:c>
      <x:c r="G107" s="112" t="str">
        <x:v>웹소설 직접</x:v>
      </x:c>
      <x:c r="H107" s="112" t="str">
        <x:v>작법·상업성</x:v>
      </x:c>
      <x:c r="I107" s="112" t="n">
        <x:v>28</x:v>
      </x:c>
      <x:c r="J107" s="112" t="str">
        <x:v>문장, 묘사, 작법</x:v>
      </x:c>
      <x:c r="K107" s="112" t="str">
        <x:v>재게시</x:v>
      </x:c>
      <x:c r="L107" s="112" t="str">
        <x:v>높음</x:v>
      </x:c>
      <x:c r="M107" s="112" t="str">
        <x:v>제목의 펌/퍼옴 표시</x:v>
      </x:c>
      <x:c r="N107" s="116" t="str">
        <x:v>https://gall.dcinside.com/mgallery/board/view/?id=tgijjdd&amp;no=479719&amp;exception_mode=recommend&amp;page=18</x:v>
      </x:c>
      <x:c r="O107" s="116" t="str">
        <x:v>https://m.blog.naver.com/sntu2010/222420751710</x:v>
      </x:c>
      <x:c r="P107" s="112" t="str">
        <x:v>예</x:v>
      </x:c>
      <x:c r="Q107" s="113" t="str">
        <x:v>자동 분류·표본 검토 대상</x:v>
      </x:c>
    </x:row>
    <x:row r="108">
      <x:c r="A108" s="100" t="n">
        <x:v>107</x:v>
      </x:c>
      <x:c r="B108" s="101" t="n">
        <x:v>44382</x:v>
      </x:c>
      <x:c r="C108" s="102" t="n">
        <x:v>2021</x:v>
      </x:c>
      <x:c r="D108" s="103" t="str">
        <x:v>ID-222420743506</x:v>
      </x:c>
      <x:c r="E108" s="112" t="str">
        <x:v>[펌]아니 인풋 하라고 진짜</x:v>
      </x:c>
      <x:c r="F108" s="112" t="str">
        <x:v>웹소작법</x:v>
      </x:c>
      <x:c r="G108" s="112" t="str">
        <x:v>웹소설 직접</x:v>
      </x:c>
      <x:c r="H108" s="112" t="str">
        <x:v>작법·상업성</x:v>
      </x:c>
      <x:c r="I108" s="112" t="n">
        <x:v>4</x:v>
      </x:c>
      <x:c r="J108" s="112" t="str">
        <x:v>재미, 작법</x:v>
      </x:c>
      <x:c r="K108" s="112" t="str">
        <x:v>재게시</x:v>
      </x:c>
      <x:c r="L108" s="112" t="str">
        <x:v>높음</x:v>
      </x:c>
      <x:c r="M108" s="112" t="str">
        <x:v>제목의 펌/퍼옴 표시</x:v>
      </x:c>
      <x:c r="N108" s="116" t="str">
        <x:v>https://gall.dcinside.com/mgallery/board/view/?id=tgijjdd&amp;no=479009&amp;exception_mode=recommend&amp;page=18</x:v>
      </x:c>
      <x:c r="O108" s="116" t="str">
        <x:v>https://m.blog.naver.com/sntu2010/222420743506</x:v>
      </x:c>
      <x:c r="P108" s="112" t="str">
        <x:v>아니오</x:v>
      </x:c>
      <x:c r="Q108" s="113" t="str">
        <x:v>자동 분류·표본 검토 대상</x:v>
      </x:c>
    </x:row>
    <x:row r="109">
      <x:c r="A109" s="100" t="n">
        <x:v>108</x:v>
      </x:c>
      <x:c r="B109" s="101" t="n">
        <x:v>44382</x:v>
      </x:c>
      <x:c r="C109" s="102" t="n">
        <x:v>2021</x:v>
      </x:c>
      <x:c r="D109" s="103" t="str">
        <x:v>ID-222420737953</x:v>
      </x:c>
      <x:c r="E109" s="112" t="str">
        <x:v>[펌]무조건 상위 10%안에 드는 법</x:v>
      </x:c>
      <x:c r="F109" s="112" t="str">
        <x:v>웹소작법</x:v>
      </x:c>
      <x:c r="G109" s="112" t="str">
        <x:v>웹소설 직접</x:v>
      </x:c>
      <x:c r="H109" s="112" t="str">
        <x:v>작법·상업성</x:v>
      </x:c>
      <x:c r="I109" s="112" t="n">
        <x:v>1</x:v>
      </x:c>
      <x:c r="J109" s="112" t="str">
        <x:v>작법</x:v>
      </x:c>
      <x:c r="K109" s="112" t="str">
        <x:v>재게시</x:v>
      </x:c>
      <x:c r="L109" s="112" t="str">
        <x:v>높음</x:v>
      </x:c>
      <x:c r="M109" s="112" t="str">
        <x:v>제목의 펌/퍼옴 표시</x:v>
      </x:c>
      <x:c r="N109" s="116" t="str">
        <x:v>https://gall.dcinside.com/mgallery/board/view/?id=tgijjdd&amp;no=474262&amp;exception_mode=recommend&amp;page=21</x:v>
      </x:c>
      <x:c r="O109" s="116" t="str">
        <x:v>https://m.blog.naver.com/sntu2010/222420737953</x:v>
      </x:c>
      <x:c r="P109" s="112" t="str">
        <x:v>아니오</x:v>
      </x:c>
      <x:c r="Q109" s="113" t="str">
        <x:v>자동 분류·표본 검토 대상</x:v>
      </x:c>
    </x:row>
    <x:row r="110">
      <x:c r="A110" s="100" t="n">
        <x:v>109</x:v>
      </x:c>
      <x:c r="B110" s="101" t="n">
        <x:v>44377</x:v>
      </x:c>
      <x:c r="C110" s="102" t="n">
        <x:v>2021</x:v>
      </x:c>
      <x:c r="D110" s="103" t="str">
        <x:v>ID-222415301267</x:v>
      </x:c>
      <x:c r="E110" s="112" t="str">
        <x:v>남성향 웹소설의 꽃 '전투 씬' 잘 쓰는 법을 알아보자</x:v>
      </x:c>
      <x:c r="F110" s="112" t="str">
        <x:v>웹소생각</x:v>
      </x:c>
      <x:c r="G110" s="112" t="str">
        <x:v>웹소설 직접</x:v>
      </x:c>
      <x:c r="H110" s="112" t="str">
        <x:v>작법·상업성</x:v>
      </x:c>
      <x:c r="I110" s="112" t="n">
        <x:v>5</x:v>
      </x:c>
      <x:c r="J110" s="112" t="str">
        <x:v>작법, 묘사, 독자, 기대감</x:v>
      </x:c>
      <x:c r="K110" s="112" t="str">
        <x:v>본인 작성/의견 추정</x:v>
      </x:c>
      <x:c r="L110" s="112" t="str">
        <x:v>낮음</x:v>
      </x:c>
      <x:c r="M110" s="112" t="str">
        <x:v>재게시 표시는 없으나 저자성 직접 증거 부족</x:v>
      </x:c>
      <x:c r="N110" s="116" t="str"/>
      <x:c r="O110" s="116" t="str">
        <x:v>https://m.blog.naver.com/sntu2010/222415301267</x:v>
      </x:c>
      <x:c r="P110" s="112" t="str">
        <x:v>아니오</x:v>
      </x:c>
      <x:c r="Q110" s="113" t="str">
        <x:v>자동 분류·표본 검토 대상</x:v>
      </x:c>
    </x:row>
    <x:row r="111">
      <x:c r="A111" s="100" t="n">
        <x:v>110</x:v>
      </x:c>
      <x:c r="B111" s="101" t="n">
        <x:v>44376</x:v>
      </x:c>
      <x:c r="C111" s="102" t="n">
        <x:v>2021</x:v>
      </x:c>
      <x:c r="D111" s="103" t="str">
        <x:v>ID-222414638328</x:v>
      </x:c>
      <x:c r="E111" s="112" t="str">
        <x:v>내가 쓴 웹소설은 막장이었어</x:v>
      </x:c>
      <x:c r="F111" s="112" t="str">
        <x:v>웹소생각</x:v>
      </x:c>
      <x:c r="G111" s="112" t="str">
        <x:v>웹소설 직접</x:v>
      </x:c>
      <x:c r="H111" s="112" t="str">
        <x:v>기타/검토</x:v>
      </x:c>
      <x:c r="I111" s="112" t="n">
        <x:v>0</x:v>
      </x:c>
      <x:c r="J111" s="112" t="str"/>
      <x:c r="K111" s="112" t="str">
        <x:v>본인 작성/의견 추정</x:v>
      </x:c>
      <x:c r="L111" s="112" t="str">
        <x:v>낮음</x:v>
      </x:c>
      <x:c r="M111" s="112" t="str">
        <x:v>재게시 표시는 없으나 저자성 직접 증거 부족</x:v>
      </x:c>
      <x:c r="N111" s="116" t="str"/>
      <x:c r="O111" s="116" t="str">
        <x:v>https://m.blog.naver.com/sntu2010/222414638328</x:v>
      </x:c>
      <x:c r="P111" s="112" t="str">
        <x:v>아니오</x:v>
      </x:c>
      <x:c r="Q111" s="113" t="str">
        <x:v>수동 검토 필요</x:v>
      </x:c>
    </x:row>
    <x:row r="112">
      <x:c r="A112" s="100" t="n">
        <x:v>111</x:v>
      </x:c>
      <x:c r="B112" s="101" t="n">
        <x:v>44376</x:v>
      </x:c>
      <x:c r="C112" s="102" t="n">
        <x:v>2021</x:v>
      </x:c>
      <x:c r="D112" s="103" t="str">
        <x:v>ID-222414519772</x:v>
      </x:c>
      <x:c r="E112" s="112" t="str">
        <x:v>웹소설 작가 생활을 계속 할 수 있을까?</x:v>
      </x:c>
      <x:c r="F112" s="112" t="str">
        <x:v>웹소생각</x:v>
      </x:c>
      <x:c r="G112" s="112" t="str">
        <x:v>웹소설 직접</x:v>
      </x:c>
      <x:c r="H112" s="112" t="str">
        <x:v>기타/검토</x:v>
      </x:c>
      <x:c r="I112" s="112" t="n">
        <x:v>0</x:v>
      </x:c>
      <x:c r="J112" s="112" t="str"/>
      <x:c r="K112" s="112" t="str">
        <x:v>본인 작성/의견 추정</x:v>
      </x:c>
      <x:c r="L112" s="112" t="str">
        <x:v>낮음</x:v>
      </x:c>
      <x:c r="M112" s="112" t="str">
        <x:v>재게시 표시는 없으나 저자성 직접 증거 부족</x:v>
      </x:c>
      <x:c r="N112" s="116" t="str"/>
      <x:c r="O112" s="116" t="str">
        <x:v>https://m.blog.naver.com/sntu2010/222414519772</x:v>
      </x:c>
      <x:c r="P112" s="112" t="str">
        <x:v>아니오</x:v>
      </x:c>
      <x:c r="Q112" s="113" t="str">
        <x:v>수동 검토 필요</x:v>
      </x:c>
    </x:row>
    <x:row r="113">
      <x:c r="A113" s="100" t="n">
        <x:v>112</x:v>
      </x:c>
      <x:c r="B113" s="101" t="n">
        <x:v>44370</x:v>
      </x:c>
      <x:c r="C113" s="102" t="n">
        <x:v>2021</x:v>
      </x:c>
      <x:c r="D113" s="103" t="str">
        <x:v>ID-222407733441</x:v>
      </x:c>
      <x:c r="E113" s="112" t="str">
        <x:v>글이 안 써지는 슬럼프를 겪고 있는 분들에게</x:v>
      </x:c>
      <x:c r="F113" s="112" t="str">
        <x:v>웹소생각</x:v>
      </x:c>
      <x:c r="G113" s="112" t="str">
        <x:v>웹소설 직접</x:v>
      </x:c>
      <x:c r="H113" s="112" t="str">
        <x:v>캐릭터·전개</x:v>
      </x:c>
      <x:c r="I113" s="112" t="n">
        <x:v>4</x:v>
      </x:c>
      <x:c r="J113" s="112" t="str">
        <x:v>에피소드, 전개, 플롯</x:v>
      </x:c>
      <x:c r="K113" s="112" t="str">
        <x:v>본인 경험담 추정</x:v>
      </x:c>
      <x:c r="L113" s="112" t="str">
        <x:v>중간</x:v>
      </x:c>
      <x:c r="M113" s="112" t="str">
        <x:v>1인칭 경험·작품·계약 표현</x:v>
      </x:c>
      <x:c r="N113" s="116" t="str"/>
      <x:c r="O113" s="116" t="str">
        <x:v>https://m.blog.naver.com/sntu2010/222407733441</x:v>
      </x:c>
      <x:c r="P113" s="112" t="str">
        <x:v>아니오</x:v>
      </x:c>
      <x:c r="Q113" s="113" t="str">
        <x:v>자동 분류·표본 검토 대상</x:v>
      </x:c>
    </x:row>
    <x:row r="114">
      <x:c r="A114" s="100" t="n">
        <x:v>113</x:v>
      </x:c>
      <x:c r="B114" s="101" t="n">
        <x:v>44353</x:v>
      </x:c>
      <x:c r="C114" s="102" t="n">
        <x:v>2021</x:v>
      </x:c>
      <x:c r="D114" s="103" t="str">
        <x:v>ID-222387268958</x:v>
      </x:c>
      <x:c r="E114" s="112" t="str">
        <x:v>[펌]가장 빠르고 효과적으로 글먹하는 법</x:v>
      </x:c>
      <x:c r="F114" s="112" t="str">
        <x:v>웹소작법</x:v>
      </x:c>
      <x:c r="G114" s="112" t="str">
        <x:v>웹소설 직접</x:v>
      </x:c>
      <x:c r="H114" s="112" t="str">
        <x:v>작법·상업성</x:v>
      </x:c>
      <x:c r="I114" s="112" t="n">
        <x:v>5</x:v>
      </x:c>
      <x:c r="J114" s="112" t="str">
        <x:v>장르, 소재, 독자, 재미, 작법</x:v>
      </x:c>
      <x:c r="K114" s="112" t="str">
        <x:v>재게시</x:v>
      </x:c>
      <x:c r="L114" s="112" t="str">
        <x:v>높음</x:v>
      </x:c>
      <x:c r="M114" s="112" t="str">
        <x:v>제목의 펌/퍼옴 표시</x:v>
      </x:c>
      <x:c r="N114" s="116" t="str">
        <x:v>https://gall.dcinside.com/mgallery/board/view/?id=tgijjdd&amp;no=473102&amp;search_head=30&amp;page=1</x:v>
      </x:c>
      <x:c r="O114" s="116" t="str">
        <x:v>https://m.blog.naver.com/sntu2010/222387268958</x:v>
      </x:c>
      <x:c r="P114" s="112" t="str">
        <x:v>아니오</x:v>
      </x:c>
      <x:c r="Q114" s="113" t="str">
        <x:v>자동 분류·표본 검토 대상</x:v>
      </x:c>
    </x:row>
    <x:row r="115">
      <x:c r="A115" s="100" t="n">
        <x:v>114</x:v>
      </x:c>
      <x:c r="B115" s="101" t="n">
        <x:v>44353</x:v>
      </x:c>
      <x:c r="C115" s="102" t="n">
        <x:v>2021</x:v>
      </x:c>
      <x:c r="D115" s="103" t="str">
        <x:v>ID-222387266753</x:v>
      </x:c>
      <x:c r="E115" s="112" t="str">
        <x:v>[펌]캐릭터가 얄팍한 애들을 위한 팁</x:v>
      </x:c>
      <x:c r="F115" s="112" t="str">
        <x:v>웹소작법</x:v>
      </x:c>
      <x:c r="G115" s="112" t="str">
        <x:v>웹소설 직접</x:v>
      </x:c>
      <x:c r="H115" s="112" t="str">
        <x:v>캐릭터·전개</x:v>
      </x:c>
      <x:c r="I115" s="112" t="n">
        <x:v>26</x:v>
      </x:c>
      <x:c r="J115" s="112" t="str">
        <x:v>캐릭터, 인물, 대사</x:v>
      </x:c>
      <x:c r="K115" s="112" t="str">
        <x:v>재게시</x:v>
      </x:c>
      <x:c r="L115" s="112" t="str">
        <x:v>높음</x:v>
      </x:c>
      <x:c r="M115" s="112" t="str">
        <x:v>제목의 펌/퍼옴 표시</x:v>
      </x:c>
      <x:c r="N115" s="116" t="str">
        <x:v>https://gall.dcinside.com/mgallery/board/view/?id=tgijjdd&amp;no=464350&amp;search_head=30&amp;page=1</x:v>
      </x:c>
      <x:c r="O115" s="116" t="str">
        <x:v>https://m.blog.naver.com/sntu2010/222387266753</x:v>
      </x:c>
      <x:c r="P115" s="112" t="str">
        <x:v>예</x:v>
      </x:c>
      <x:c r="Q115" s="113" t="str">
        <x:v>자동 분류·표본 검토 대상</x:v>
      </x:c>
    </x:row>
    <x:row r="116">
      <x:c r="A116" s="100" t="n">
        <x:v>115</x:v>
      </x:c>
      <x:c r="B116" s="101" t="n">
        <x:v>44353</x:v>
      </x:c>
      <x:c r="C116" s="102" t="n">
        <x:v>2021</x:v>
      </x:c>
      <x:c r="D116" s="103" t="str">
        <x:v>ID-222387264059</x:v>
      </x:c>
      <x:c r="E116" s="112" t="str">
        <x:v>[펌]정판에 대해서(남희성 작가님)</x:v>
      </x:c>
      <x:c r="F116" s="112" t="str">
        <x:v>웹소작법</x:v>
      </x:c>
      <x:c r="G116" s="112" t="str">
        <x:v>웹소설 직접</x:v>
      </x:c>
      <x:c r="H116" s="112" t="str">
        <x:v>캐릭터·전개</x:v>
      </x:c>
      <x:c r="I116" s="112" t="n">
        <x:v>3</x:v>
      </x:c>
      <x:c r="J116" s="112" t="str">
        <x:v>캐릭터, 전개, 복선</x:v>
      </x:c>
      <x:c r="K116" s="112" t="str">
        <x:v>재게시</x:v>
      </x:c>
      <x:c r="L116" s="112" t="str">
        <x:v>높음</x:v>
      </x:c>
      <x:c r="M116" s="112" t="str">
        <x:v>제목의 펌/퍼옴 표시</x:v>
      </x:c>
      <x:c r="N116" s="116" t="str">
        <x:v>https://gall.dcinside.com/mgallery/board/view/?id=tgijjdd&amp;no=449921&amp;search_head=30&amp;page=1</x:v>
      </x:c>
      <x:c r="O116" s="116" t="str">
        <x:v>https://m.blog.naver.com/sntu2010/222387264059</x:v>
      </x:c>
      <x:c r="P116" s="112" t="str">
        <x:v>아니오</x:v>
      </x:c>
      <x:c r="Q116" s="113" t="str">
        <x:v>자동 분류·표본 검토 대상</x:v>
      </x:c>
    </x:row>
    <x:row r="117">
      <x:c r="A117" s="100" t="n">
        <x:v>116</x:v>
      </x:c>
      <x:c r="B117" s="101" t="n">
        <x:v>44353</x:v>
      </x:c>
      <x:c r="C117" s="102" t="n">
        <x:v>2021</x:v>
      </x:c>
      <x:c r="D117" s="103" t="str">
        <x:v>ID-222387259917</x:v>
      </x:c>
      <x:c r="E117" s="112" t="str">
        <x:v>[펌]대사 안 어색하게 쓰는 개꿀</x:v>
      </x:c>
      <x:c r="F117" s="112" t="str">
        <x:v>웹소작법</x:v>
      </x:c>
      <x:c r="G117" s="112" t="str">
        <x:v>웹소설 직접</x:v>
      </x:c>
      <x:c r="H117" s="112" t="str">
        <x:v>캐릭터·전개</x:v>
      </x:c>
      <x:c r="I117" s="112" t="n">
        <x:v>22</x:v>
      </x:c>
      <x:c r="J117" s="112" t="str">
        <x:v>대사, 캐릭터</x:v>
      </x:c>
      <x:c r="K117" s="112" t="str">
        <x:v>재게시</x:v>
      </x:c>
      <x:c r="L117" s="112" t="str">
        <x:v>높음</x:v>
      </x:c>
      <x:c r="M117" s="112" t="str">
        <x:v>제목의 펌/퍼옴 표시</x:v>
      </x:c>
      <x:c r="N117" s="116" t="str">
        <x:v>https://gall.dcinside.com/mgallery/board/view/?id=tgijjdd&amp;no=446016&amp;search_head=30&amp;page=1</x:v>
      </x:c>
      <x:c r="O117" s="116" t="str">
        <x:v>https://m.blog.naver.com/sntu2010/222387259917</x:v>
      </x:c>
      <x:c r="P117" s="112" t="str">
        <x:v>예</x:v>
      </x:c>
      <x:c r="Q117" s="113" t="str">
        <x:v>자동 분류·표본 검토 대상</x:v>
      </x:c>
    </x:row>
    <x:row r="118">
      <x:c r="A118" s="100" t="n">
        <x:v>117</x:v>
      </x:c>
      <x:c r="B118" s="101" t="n">
        <x:v>44353</x:v>
      </x:c>
      <x:c r="C118" s="102" t="n">
        <x:v>2021</x:v>
      </x:c>
      <x:c r="D118" s="103" t="str">
        <x:v>ID-222387258226</x:v>
      </x:c>
      <x:c r="E118" s="112" t="str">
        <x:v>[펌]개그 연출에서 갑분싸 방지하는 법</x:v>
      </x:c>
      <x:c r="F118" s="112" t="str">
        <x:v>웹소작법</x:v>
      </x:c>
      <x:c r="G118" s="112" t="str">
        <x:v>웹소설 직접</x:v>
      </x:c>
      <x:c r="H118" s="112" t="str">
        <x:v>작법·상업성</x:v>
      </x:c>
      <x:c r="I118" s="112" t="n">
        <x:v>4</x:v>
      </x:c>
      <x:c r="J118" s="112" t="str">
        <x:v>재미, 독자, 작법</x:v>
      </x:c>
      <x:c r="K118" s="112" t="str">
        <x:v>재게시</x:v>
      </x:c>
      <x:c r="L118" s="112" t="str">
        <x:v>높음</x:v>
      </x:c>
      <x:c r="M118" s="112" t="str">
        <x:v>제목의 펌/퍼옴 표시</x:v>
      </x:c>
      <x:c r="N118" s="116" t="str">
        <x:v>https://gall.dcinside.com/mgallery/board/view/?id=tgijjdd&amp;no=444076&amp;exception_mode=recommend&amp;search_head=30&amp;page=1</x:v>
      </x:c>
      <x:c r="O118" s="116" t="str">
        <x:v>https://m.blog.naver.com/sntu2010/222387258226</x:v>
      </x:c>
      <x:c r="P118" s="112" t="str">
        <x:v>아니오</x:v>
      </x:c>
      <x:c r="Q118" s="113" t="str">
        <x:v>자동 분류·표본 검토 대상</x:v>
      </x:c>
    </x:row>
    <x:row r="119">
      <x:c r="A119" s="100" t="n">
        <x:v>118</x:v>
      </x:c>
      <x:c r="B119" s="101" t="n">
        <x:v>44353</x:v>
      </x:c>
      <x:c r="C119" s="102" t="n">
        <x:v>2021</x:v>
      </x:c>
      <x:c r="D119" s="103" t="str">
        <x:v>ID-222387257210</x:v>
      </x:c>
      <x:c r="E119" s="112" t="str">
        <x:v>[펌]일상파트는 언제 쓰는가</x:v>
      </x:c>
      <x:c r="F119" s="112" t="str">
        <x:v>웹소작법</x:v>
      </x:c>
      <x:c r="G119" s="112" t="str">
        <x:v>웹소설 직접</x:v>
      </x:c>
      <x:c r="H119" s="112" t="str">
        <x:v>캐릭터·전개</x:v>
      </x:c>
      <x:c r="I119" s="112" t="n">
        <x:v>3</x:v>
      </x:c>
      <x:c r="J119" s="112" t="str">
        <x:v>사건, 서사</x:v>
      </x:c>
      <x:c r="K119" s="112" t="str">
        <x:v>재게시</x:v>
      </x:c>
      <x:c r="L119" s="112" t="str">
        <x:v>높음</x:v>
      </x:c>
      <x:c r="M119" s="112" t="str">
        <x:v>제목의 펌/퍼옴 표시</x:v>
      </x:c>
      <x:c r="N119" s="116" t="str">
        <x:v>https://gall.dcinside.com/mgallery/board/view/?id=tgijjdd&amp;no=435221&amp;exception_mode=recommend&amp;search_head=30&amp;page=1</x:v>
      </x:c>
      <x:c r="O119" s="116" t="str">
        <x:v>https://m.blog.naver.com/sntu2010/222387257210</x:v>
      </x:c>
      <x:c r="P119" s="112" t="str">
        <x:v>아니오</x:v>
      </x:c>
      <x:c r="Q119" s="113" t="str">
        <x:v>자동 분류·표본 검토 대상</x:v>
      </x:c>
    </x:row>
    <x:row r="120">
      <x:c r="A120" s="100" t="n">
        <x:v>119</x:v>
      </x:c>
      <x:c r="B120" s="101" t="n">
        <x:v>44351</x:v>
      </x:c>
      <x:c r="C120" s="102" t="n">
        <x:v>2021</x:v>
      </x:c>
      <x:c r="D120" s="103" t="str">
        <x:v>ID-222384171785</x:v>
      </x:c>
      <x:c r="E120" s="112" t="str">
        <x:v>전업 웹소설 작가 생활을 하면서 몸으로 느낀 것</x:v>
      </x:c>
      <x:c r="F120" s="112" t="str">
        <x:v>웹소생각</x:v>
      </x:c>
      <x:c r="G120" s="112" t="str">
        <x:v>웹소설 직접</x:v>
      </x:c>
      <x:c r="H120" s="112" t="str">
        <x:v>수익·운영</x:v>
      </x:c>
      <x:c r="I120" s="112" t="n">
        <x:v>21</x:v>
      </x:c>
      <x:c r="J120" s="112" t="str">
        <x:v>전업</x:v>
      </x:c>
      <x:c r="K120" s="112" t="str">
        <x:v>본인 경험담 추정</x:v>
      </x:c>
      <x:c r="L120" s="112" t="str">
        <x:v>중간</x:v>
      </x:c>
      <x:c r="M120" s="112" t="str">
        <x:v>1인칭 경험·작품·계약 표현</x:v>
      </x:c>
      <x:c r="N120" s="116" t="str"/>
      <x:c r="O120" s="116" t="str">
        <x:v>https://m.blog.naver.com/sntu2010/222384171785</x:v>
      </x:c>
      <x:c r="P120" s="112" t="str">
        <x:v>예</x:v>
      </x:c>
      <x:c r="Q120" s="113" t="str">
        <x:v>자동 분류·표본 검토 대상</x:v>
      </x:c>
    </x:row>
    <x:row r="121">
      <x:c r="A121" s="100" t="n">
        <x:v>120</x:v>
      </x:c>
      <x:c r="B121" s="101" t="n">
        <x:v>44349</x:v>
      </x:c>
      <x:c r="C121" s="102" t="n">
        <x:v>2021</x:v>
      </x:c>
      <x:c r="D121" s="103" t="str">
        <x:v>ID-222380463352</x:v>
      </x:c>
      <x:c r="E121" s="112" t="str">
        <x:v>Q. 웹소설을 어떻게 분석하나요?</x:v>
      </x:c>
      <x:c r="F121" s="112" t="str">
        <x:v>웹소생각</x:v>
      </x:c>
      <x:c r="G121" s="112" t="str">
        <x:v>웹소설 직접</x:v>
      </x:c>
      <x:c r="H121" s="112" t="str">
        <x:v>기타/검토</x:v>
      </x:c>
      <x:c r="I121" s="112" t="n">
        <x:v>0</x:v>
      </x:c>
      <x:c r="J121" s="112" t="str"/>
      <x:c r="K121" s="112" t="str">
        <x:v>본인 경험담 추정</x:v>
      </x:c>
      <x:c r="L121" s="112" t="str">
        <x:v>중간</x:v>
      </x:c>
      <x:c r="M121" s="112" t="str">
        <x:v>1인칭 경험·작품·계약 표현</x:v>
      </x:c>
      <x:c r="N121" s="116" t="str"/>
      <x:c r="O121" s="116" t="str">
        <x:v>https://m.blog.naver.com/sntu2010/222380463352</x:v>
      </x:c>
      <x:c r="P121" s="112" t="str">
        <x:v>아니오</x:v>
      </x:c>
      <x:c r="Q121" s="113" t="str">
        <x:v>수동 검토 필요</x:v>
      </x:c>
    </x:row>
    <x:row r="122">
      <x:c r="A122" s="100" t="n">
        <x:v>121</x:v>
      </x:c>
      <x:c r="B122" s="101" t="n">
        <x:v>44346</x:v>
      </x:c>
      <x:c r="C122" s="102" t="n">
        <x:v>2021</x:v>
      </x:c>
      <x:c r="D122" s="103" t="str">
        <x:v>ID-222375478837</x:v>
      </x:c>
      <x:c r="E122" s="112" t="str">
        <x:v>Q. 헌터물에 대해서 알려주세요!</x:v>
      </x:c>
      <x:c r="F122" s="112" t="str">
        <x:v>웹소생각</x:v>
      </x:c>
      <x:c r="G122" s="112" t="str">
        <x:v>웹소설 직접</x:v>
      </x:c>
      <x:c r="H122" s="112" t="str">
        <x:v>플랫폼·투고·계약</x:v>
      </x:c>
      <x:c r="I122" s="112" t="n">
        <x:v>3</x:v>
      </x:c>
      <x:c r="J122" s="112" t="str">
        <x:v>조아라</x:v>
      </x:c>
      <x:c r="K122" s="112" t="str">
        <x:v>본인 경험담 추정</x:v>
      </x:c>
      <x:c r="L122" s="112" t="str">
        <x:v>중간</x:v>
      </x:c>
      <x:c r="M122" s="112" t="str">
        <x:v>1인칭 경험·작품·계약 표현</x:v>
      </x:c>
      <x:c r="N122" s="116" t="str"/>
      <x:c r="O122" s="116" t="str">
        <x:v>https://m.blog.naver.com/sntu2010/222375478837</x:v>
      </x:c>
      <x:c r="P122" s="112" t="str">
        <x:v>아니오</x:v>
      </x:c>
      <x:c r="Q122" s="113" t="str">
        <x:v>자동 분류·표본 검토 대상</x:v>
      </x:c>
    </x:row>
    <x:row r="123">
      <x:c r="A123" s="100" t="n">
        <x:v>122</x:v>
      </x:c>
      <x:c r="B123" s="101" t="n">
        <x:v>44345</x:v>
      </x:c>
      <x:c r="C123" s="102" t="n">
        <x:v>2021</x:v>
      </x:c>
      <x:c r="D123" s="103" t="str">
        <x:v>ID-222374068428</x:v>
      </x:c>
      <x:c r="E123" s="112" t="str">
        <x:v>5년차 전업 웹소설 작가의 소소한 팁</x:v>
      </x:c>
      <x:c r="F123" s="112" t="str">
        <x:v>웹소생각</x:v>
      </x:c>
      <x:c r="G123" s="112" t="str">
        <x:v>웹소설 직접</x:v>
      </x:c>
      <x:c r="H123" s="112" t="str">
        <x:v>수익·운영</x:v>
      </x:c>
      <x:c r="I123" s="112" t="n">
        <x:v>20</x:v>
      </x:c>
      <x:c r="J123" s="112" t="str">
        <x:v>전업</x:v>
      </x:c>
      <x:c r="K123" s="112" t="str">
        <x:v>본인 작성/의견 추정</x:v>
      </x:c>
      <x:c r="L123" s="112" t="str">
        <x:v>낮음</x:v>
      </x:c>
      <x:c r="M123" s="112" t="str">
        <x:v>재게시 표시는 없으나 저자성 직접 증거 부족</x:v>
      </x:c>
      <x:c r="N123" s="116" t="str"/>
      <x:c r="O123" s="116" t="str">
        <x:v>https://m.blog.naver.com/sntu2010/222374068428</x:v>
      </x:c>
      <x:c r="P123" s="112" t="str">
        <x:v>예</x:v>
      </x:c>
      <x:c r="Q123" s="113" t="str">
        <x:v>자동 분류·표본 검토 대상</x:v>
      </x:c>
    </x:row>
    <x:row r="124">
      <x:c r="A124" s="100" t="n">
        <x:v>123</x:v>
      </x:c>
      <x:c r="B124" s="101" t="n">
        <x:v>44294</x:v>
      </x:c>
      <x:c r="C124" s="102" t="n">
        <x:v>2021</x:v>
      </x:c>
      <x:c r="D124" s="103" t="str">
        <x:v>ID-222302722708</x:v>
      </x:c>
      <x:c r="E124" s="112" t="str">
        <x:v>Q. 마법과 판타지 세계관은 어떻게 공부하나요?</x:v>
      </x:c>
      <x:c r="F124" s="112" t="str">
        <x:v>웹소생각</x:v>
      </x:c>
      <x:c r="G124" s="112" t="str">
        <x:v>웹소설 직접</x:v>
      </x:c>
      <x:c r="H124" s="112" t="str">
        <x:v>작법·상업성</x:v>
      </x:c>
      <x:c r="I124" s="112" t="n">
        <x:v>2</x:v>
      </x:c>
      <x:c r="J124" s="112" t="str">
        <x:v>설정, 장르</x:v>
      </x:c>
      <x:c r="K124" s="112" t="str">
        <x:v>본인 작성/의견 추정</x:v>
      </x:c>
      <x:c r="L124" s="112" t="str">
        <x:v>낮음</x:v>
      </x:c>
      <x:c r="M124" s="112" t="str">
        <x:v>재게시 표시는 없으나 저자성 직접 증거 부족</x:v>
      </x:c>
      <x:c r="N124" s="116" t="str"/>
      <x:c r="O124" s="116" t="str">
        <x:v>https://m.blog.naver.com/sntu2010/222302722708</x:v>
      </x:c>
      <x:c r="P124" s="112" t="str">
        <x:v>아니오</x:v>
      </x:c>
      <x:c r="Q124" s="113" t="str">
        <x:v>수동 검토 필요</x:v>
      </x:c>
    </x:row>
    <x:row r="125">
      <x:c r="A125" s="100" t="n">
        <x:v>124</x:v>
      </x:c>
      <x:c r="B125" s="101" t="n">
        <x:v>44292</x:v>
      </x:c>
      <x:c r="C125" s="102" t="n">
        <x:v>2021</x:v>
      </x:c>
      <x:c r="D125" s="103" t="str">
        <x:v>ID-222300213320</x:v>
      </x:c>
      <x:c r="E125" s="112" t="str">
        <x:v>Q. 매니지와 계약할 때 굳이 찾아가야하나요?</x:v>
      </x:c>
      <x:c r="F125" s="112" t="str">
        <x:v>웹소생각</x:v>
      </x:c>
      <x:c r="G125" s="112" t="str">
        <x:v>웹소설 직접</x:v>
      </x:c>
      <x:c r="H125" s="112" t="str">
        <x:v>플랫폼·투고·계약</x:v>
      </x:c>
      <x:c r="I125" s="112" t="n">
        <x:v>46</x:v>
      </x:c>
      <x:c r="J125" s="112" t="str">
        <x:v>매니지, 계약</x:v>
      </x:c>
      <x:c r="K125" s="112" t="str">
        <x:v>본인 작성/의견 추정</x:v>
      </x:c>
      <x:c r="L125" s="112" t="str">
        <x:v>낮음</x:v>
      </x:c>
      <x:c r="M125" s="112" t="str">
        <x:v>재게시 표시는 없으나 저자성 직접 증거 부족</x:v>
      </x:c>
      <x:c r="N125" s="116" t="str"/>
      <x:c r="O125" s="116" t="str">
        <x:v>https://m.blog.naver.com/sntu2010/222300213320</x:v>
      </x:c>
      <x:c r="P125" s="112" t="str">
        <x:v>예</x:v>
      </x:c>
      <x:c r="Q125" s="113" t="str">
        <x:v>자동 분류·표본 검토 대상</x:v>
      </x:c>
    </x:row>
    <x:row r="126">
      <x:c r="A126" s="100" t="n">
        <x:v>125</x:v>
      </x:c>
      <x:c r="B126" s="101" t="n">
        <x:v>44291</x:v>
      </x:c>
      <x:c r="C126" s="102" t="n">
        <x:v>2021</x:v>
      </x:c>
      <x:c r="D126" s="103" t="str">
        <x:v>ID-222299031676</x:v>
      </x:c>
      <x:c r="E126" s="112" t="str">
        <x:v>상업적인 글에 들어가야 하는 3대 요소</x:v>
      </x:c>
      <x:c r="F126" s="112" t="str">
        <x:v>웹소생각</x:v>
      </x:c>
      <x:c r="G126" s="112" t="str">
        <x:v>웹소설 직접</x:v>
      </x:c>
      <x:c r="H126" s="112" t="str">
        <x:v>작법·상업성</x:v>
      </x:c>
      <x:c r="I126" s="112" t="n">
        <x:v>28</x:v>
      </x:c>
      <x:c r="J126" s="112" t="str">
        <x:v>상업, 독자, 재미, 설정</x:v>
      </x:c>
      <x:c r="K126" s="112" t="str">
        <x:v>본인 경험담 추정</x:v>
      </x:c>
      <x:c r="L126" s="112" t="str">
        <x:v>중간</x:v>
      </x:c>
      <x:c r="M126" s="112" t="str">
        <x:v>1인칭 경험·작품·계약 표현</x:v>
      </x:c>
      <x:c r="N126" s="116" t="str"/>
      <x:c r="O126" s="116" t="str">
        <x:v>https://m.blog.naver.com/sntu2010/222299031676</x:v>
      </x:c>
      <x:c r="P126" s="112" t="str">
        <x:v>예</x:v>
      </x:c>
      <x:c r="Q126" s="113" t="str">
        <x:v>자동 분류·표본 검토 대상</x:v>
      </x:c>
    </x:row>
    <x:row r="127">
      <x:c r="A127" s="100" t="n">
        <x:v>126</x:v>
      </x:c>
      <x:c r="B127" s="101" t="n">
        <x:v>44291</x:v>
      </x:c>
      <x:c r="C127" s="102" t="n">
        <x:v>2021</x:v>
      </x:c>
      <x:c r="D127" s="103" t="str">
        <x:v>ID-222298962580</x:v>
      </x:c>
      <x:c r="E127" s="112" t="str">
        <x:v>매니지와 좋은 조건으로 계약하는 방법</x:v>
      </x:c>
      <x:c r="F127" s="112" t="str">
        <x:v>웹소생각</x:v>
      </x:c>
      <x:c r="G127" s="112" t="str">
        <x:v>웹소설 직접</x:v>
      </x:c>
      <x:c r="H127" s="112" t="str">
        <x:v>플랫폼·투고·계약</x:v>
      </x:c>
      <x:c r="I127" s="112" t="n">
        <x:v>48</x:v>
      </x:c>
      <x:c r="J127" s="112" t="str">
        <x:v>매니지, 계약</x:v>
      </x:c>
      <x:c r="K127" s="112" t="str">
        <x:v>본인 작성/의견 추정</x:v>
      </x:c>
      <x:c r="L127" s="112" t="str">
        <x:v>낮음</x:v>
      </x:c>
      <x:c r="M127" s="112" t="str">
        <x:v>재게시 표시는 없으나 저자성 직접 증거 부족</x:v>
      </x:c>
      <x:c r="N127" s="116" t="str"/>
      <x:c r="O127" s="116" t="str">
        <x:v>https://m.blog.naver.com/sntu2010/222298962580</x:v>
      </x:c>
      <x:c r="P127" s="112" t="str">
        <x:v>예</x:v>
      </x:c>
      <x:c r="Q127" s="113" t="str">
        <x:v>자동 분류·표본 검토 대상</x:v>
      </x:c>
    </x:row>
    <x:row r="128">
      <x:c r="A128" s="100" t="n">
        <x:v>127</x:v>
      </x:c>
      <x:c r="B128" s="101" t="n">
        <x:v>44287</x:v>
      </x:c>
      <x:c r="C128" s="102" t="n">
        <x:v>2021</x:v>
      </x:c>
      <x:c r="D128" s="103" t="str">
        <x:v>ID-222294795457</x:v>
      </x:c>
      <x:c r="E128" s="112" t="str">
        <x:v>어느 출판사(매니지)가 상위권 1티어일까?</x:v>
      </x:c>
      <x:c r="F128" s="112" t="str">
        <x:v>웹소생각</x:v>
      </x:c>
      <x:c r="G128" s="112" t="str">
        <x:v>웹소설 직접</x:v>
      </x:c>
      <x:c r="H128" s="112" t="str">
        <x:v>플랫폼·투고·계약</x:v>
      </x:c>
      <x:c r="I128" s="112" t="n">
        <x:v>48</x:v>
      </x:c>
      <x:c r="J128" s="112" t="str">
        <x:v>출판사, 매니지</x:v>
      </x:c>
      <x:c r="K128" s="112" t="str">
        <x:v>본인 경험담 추정</x:v>
      </x:c>
      <x:c r="L128" s="112" t="str">
        <x:v>중간</x:v>
      </x:c>
      <x:c r="M128" s="112" t="str">
        <x:v>1인칭 경험·작품·계약 표현</x:v>
      </x:c>
      <x:c r="N128" s="116" t="str"/>
      <x:c r="O128" s="116" t="str">
        <x:v>https://m.blog.naver.com/sntu2010/222294795457</x:v>
      </x:c>
      <x:c r="P128" s="112" t="str">
        <x:v>예</x:v>
      </x:c>
      <x:c r="Q128" s="113" t="str">
        <x:v>자동 분류·표본 검토 대상</x:v>
      </x:c>
    </x:row>
    <x:row r="129">
      <x:c r="A129" s="100" t="n">
        <x:v>128</x:v>
      </x:c>
      <x:c r="B129" s="101" t="n">
        <x:v>44287</x:v>
      </x:c>
      <x:c r="C129" s="102" t="n">
        <x:v>2021</x:v>
      </x:c>
      <x:c r="D129" s="103" t="str">
        <x:v>ID-222294729580</x:v>
      </x:c>
      <x:c r="E129" s="112" t="str">
        <x:v>Q. 조회수도 잘 나오지 않는 작품인데 컨텍이 왔습니다.</x:v>
      </x:c>
      <x:c r="F129" s="112" t="str">
        <x:v>웹소생각</x:v>
      </x:c>
      <x:c r="G129" s="112" t="str">
        <x:v>웹소설 직접</x:v>
      </x:c>
      <x:c r="H129" s="112" t="str">
        <x:v>초반부/연독률</x:v>
      </x:c>
      <x:c r="I129" s="112" t="n">
        <x:v>25</x:v>
      </x:c>
      <x:c r="J129" s="112" t="str">
        <x:v>조회수, 선작</x:v>
      </x:c>
      <x:c r="K129" s="112" t="str">
        <x:v>본인 경험담 추정</x:v>
      </x:c>
      <x:c r="L129" s="112" t="str">
        <x:v>중간</x:v>
      </x:c>
      <x:c r="M129" s="112" t="str">
        <x:v>1인칭 경험·작품·계약 표현</x:v>
      </x:c>
      <x:c r="N129" s="116" t="str"/>
      <x:c r="O129" s="116" t="str">
        <x:v>https://m.blog.naver.com/sntu2010/222294729580</x:v>
      </x:c>
      <x:c r="P129" s="112" t="str">
        <x:v>예</x:v>
      </x:c>
      <x:c r="Q129" s="113" t="str">
        <x:v>자동 분류·표본 검토 대상</x:v>
      </x:c>
    </x:row>
    <x:row r="130">
      <x:c r="A130" s="100" t="n">
        <x:v>129</x:v>
      </x:c>
      <x:c r="B130" s="101" t="n">
        <x:v>44272</x:v>
      </x:c>
      <x:c r="C130" s="102" t="n">
        <x:v>2021</x:v>
      </x:c>
      <x:c r="D130" s="103" t="str">
        <x:v>ID-222278321001</x:v>
      </x:c>
      <x:c r="E130" s="112" t="str">
        <x:v>웹툰 작가의 필수템? 작업을 도와주는 아이템 소개!</x:v>
      </x:c>
      <x:c r="F130" s="112" t="str">
        <x:v>웹툰생각</x:v>
      </x:c>
      <x:c r="G130" s="112" t="str">
        <x:v>웹툰 참고</x:v>
      </x:c>
      <x:c r="H130" s="112" t="str">
        <x:v>기타/검토</x:v>
      </x:c>
      <x:c r="I130" s="112" t="n">
        <x:v>0</x:v>
      </x:c>
      <x:c r="J130" s="112" t="str"/>
      <x:c r="K130" s="112" t="str">
        <x:v>본인 작성/의견 추정</x:v>
      </x:c>
      <x:c r="L130" s="112" t="str">
        <x:v>낮음</x:v>
      </x:c>
      <x:c r="M130" s="112" t="str">
        <x:v>재게시 표시는 없으나 저자성 직접 증거 부족</x:v>
      </x:c>
      <x:c r="N130" s="116" t="str"/>
      <x:c r="O130" s="116" t="str">
        <x:v>https://m.blog.naver.com/sntu2010/222278321001</x:v>
      </x:c>
      <x:c r="P130" s="112" t="str">
        <x:v>아니오</x:v>
      </x:c>
      <x:c r="Q130" s="113" t="str">
        <x:v>수동 검토 필요</x:v>
      </x:c>
    </x:row>
    <x:row r="131">
      <x:c r="A131" s="100" t="n">
        <x:v>130</x:v>
      </x:c>
      <x:c r="B131" s="101" t="n">
        <x:v>44258</x:v>
      </x:c>
      <x:c r="C131" s="102" t="n">
        <x:v>2021</x:v>
      </x:c>
      <x:c r="D131" s="103" t="str">
        <x:v>ID-222262811629</x:v>
      </x:c>
      <x:c r="E131" s="112" t="str">
        <x:v>[펌]그림 친구들에게 주는 글친구의 팁</x:v>
      </x:c>
      <x:c r="F131" s="112" t="str">
        <x:v>웹툰작법</x:v>
      </x:c>
      <x:c r="G131" s="112" t="str">
        <x:v>웹툰 참고</x:v>
      </x:c>
      <x:c r="H131" s="112" t="str">
        <x:v>초반부/연독률</x:v>
      </x:c>
      <x:c r="I131" s="112" t="n">
        <x:v>4</x:v>
      </x:c>
      <x:c r="J131" s="112" t="str">
        <x:v>1화, 초반</x:v>
      </x:c>
      <x:c r="K131" s="112" t="str">
        <x:v>재게시</x:v>
      </x:c>
      <x:c r="L131" s="112" t="str">
        <x:v>높음</x:v>
      </x:c>
      <x:c r="M131" s="112" t="str">
        <x:v>제목의 펌/퍼옴 표시</x:v>
      </x:c>
      <x:c r="N131" s="116" t="str">
        <x:v>https://gall.dcinside.com/mgallery/board/view/?id=cartoonist&amp;no=71960&amp;search_head=10&amp;page=1</x:v>
      </x:c>
      <x:c r="O131" s="116" t="str">
        <x:v>https://m.blog.naver.com/sntu2010/222262811629</x:v>
      </x:c>
      <x:c r="P131" s="112" t="str">
        <x:v>아니오</x:v>
      </x:c>
      <x:c r="Q131" s="113" t="str">
        <x:v>자동 분류·표본 검토 대상</x:v>
      </x:c>
    </x:row>
    <x:row r="132">
      <x:c r="A132" s="100" t="n">
        <x:v>131</x:v>
      </x:c>
      <x:c r="B132" s="101" t="n">
        <x:v>44258</x:v>
      </x:c>
      <x:c r="C132" s="102" t="n">
        <x:v>2021</x:v>
      </x:c>
      <x:c r="D132" s="103" t="str">
        <x:v>ID-222262807753</x:v>
      </x:c>
      <x:c r="E132" s="112" t="str">
        <x:v>[펌]망생이들 플롯 짜는 팁</x:v>
      </x:c>
      <x:c r="F132" s="112" t="str">
        <x:v>웹소작법</x:v>
      </x:c>
      <x:c r="G132" s="112" t="str">
        <x:v>웹소설 직접</x:v>
      </x:c>
      <x:c r="H132" s="112" t="str">
        <x:v>캐릭터·전개</x:v>
      </x:c>
      <x:c r="I132" s="112" t="n">
        <x:v>24</x:v>
      </x:c>
      <x:c r="J132" s="112" t="str">
        <x:v>플롯, 캐릭터</x:v>
      </x:c>
      <x:c r="K132" s="112" t="str">
        <x:v>재게시</x:v>
      </x:c>
      <x:c r="L132" s="112" t="str">
        <x:v>높음</x:v>
      </x:c>
      <x:c r="M132" s="112" t="str">
        <x:v>제목의 펌/퍼옴 표시</x:v>
      </x:c>
      <x:c r="N132" s="116" t="str">
        <x:v>https://gall.dcinside.com/mgallery/board/view/?id=tgijjdd&amp;no=435219&amp;search_head=30&amp;page=1</x:v>
      </x:c>
      <x:c r="O132" s="116" t="str">
        <x:v>https://m.blog.naver.com/sntu2010/222262807753</x:v>
      </x:c>
      <x:c r="P132" s="112" t="str">
        <x:v>예</x:v>
      </x:c>
      <x:c r="Q132" s="113" t="str">
        <x:v>자동 분류·표본 검토 대상</x:v>
      </x:c>
    </x:row>
    <x:row r="133">
      <x:c r="A133" s="100" t="n">
        <x:v>132</x:v>
      </x:c>
      <x:c r="B133" s="101" t="n">
        <x:v>44258</x:v>
      </x:c>
      <x:c r="C133" s="102" t="n">
        <x:v>2021</x:v>
      </x:c>
      <x:c r="D133" s="103" t="str">
        <x:v>ID-222262803607</x:v>
      </x:c>
      <x:c r="E133" s="112" t="str">
        <x:v>[펌]스토리 구성에 도움이 될 만한 팁</x:v>
      </x:c>
      <x:c r="F133" s="112" t="str">
        <x:v>웹소작법</x:v>
      </x:c>
      <x:c r="G133" s="112" t="str">
        <x:v>웹소설 직접</x:v>
      </x:c>
      <x:c r="H133" s="112" t="str">
        <x:v>초반부/연독률</x:v>
      </x:c>
      <x:c r="I133" s="112" t="n">
        <x:v>6</x:v>
      </x:c>
      <x:c r="J133" s="112" t="str">
        <x:v>1화, 3화, 5화, 25화, 초반</x:v>
      </x:c>
      <x:c r="K133" s="112" t="str">
        <x:v>재게시</x:v>
      </x:c>
      <x:c r="L133" s="112" t="str">
        <x:v>높음</x:v>
      </x:c>
      <x:c r="M133" s="112" t="str">
        <x:v>제목의 펌/퍼옴 표시</x:v>
      </x:c>
      <x:c r="N133" s="116" t="str">
        <x:v>https://gall.dcinside.com/mgallery/board/view/?id=tgijjdd&amp;no=449200&amp;search_head=30&amp;page=1</x:v>
      </x:c>
      <x:c r="O133" s="116" t="str">
        <x:v>https://m.blog.naver.com/sntu2010/222262803607</x:v>
      </x:c>
      <x:c r="P133" s="112" t="str">
        <x:v>예</x:v>
      </x:c>
      <x:c r="Q133" s="113" t="str">
        <x:v>자동 분류·표본 검토 대상</x:v>
      </x:c>
    </x:row>
    <x:row r="134">
      <x:c r="A134" s="100" t="n">
        <x:v>133</x:v>
      </x:c>
      <x:c r="B134" s="101" t="n">
        <x:v>44250</x:v>
      </x:c>
      <x:c r="C134" s="102" t="n">
        <x:v>2021</x:v>
      </x:c>
      <x:c r="D134" s="103" t="str">
        <x:v>ID-222254146091</x:v>
      </x:c>
      <x:c r="E134" s="112" t="str">
        <x:v>2021년 2월 23일 오후 10시 31분에 저장한 글입니다.</x:v>
      </x:c>
      <x:c r="F134" s="112" t="str">
        <x:v>웹툰생각</x:v>
      </x:c>
      <x:c r="G134" s="112" t="str">
        <x:v>웹툰 참고</x:v>
      </x:c>
      <x:c r="H134" s="112" t="str">
        <x:v>기타/검토</x:v>
      </x:c>
      <x:c r="I134" s="112" t="n">
        <x:v>0</x:v>
      </x:c>
      <x:c r="J134" s="112" t="str"/>
      <x:c r="K134" s="112" t="str">
        <x:v>본인 작성/의견 추정</x:v>
      </x:c>
      <x:c r="L134" s="112" t="str">
        <x:v>낮음</x:v>
      </x:c>
      <x:c r="M134" s="112" t="str">
        <x:v>재게시 표시는 없으나 저자성 직접 증거 부족</x:v>
      </x:c>
      <x:c r="N134" s="116" t="str"/>
      <x:c r="O134" s="116" t="str">
        <x:v>https://m.blog.naver.com/sntu2010/222254146091</x:v>
      </x:c>
      <x:c r="P134" s="112" t="str">
        <x:v>아니오</x:v>
      </x:c>
      <x:c r="Q134" s="113" t="str">
        <x:v>수동 검토 필요</x:v>
      </x:c>
    </x:row>
    <x:row r="135">
      <x:c r="A135" s="100" t="n">
        <x:v>134</x:v>
      </x:c>
      <x:c r="B135" s="101" t="n">
        <x:v>44250</x:v>
      </x:c>
      <x:c r="C135" s="102" t="n">
        <x:v>2021</x:v>
      </x:c>
      <x:c r="D135" s="103" t="str">
        <x:v>ID-222253363083</x:v>
      </x:c>
      <x:c r="E135" s="112" t="str">
        <x:v>차기작을 시작할 때 최우선 고려하는 것</x:v>
      </x:c>
      <x:c r="F135" s="112" t="str">
        <x:v>웹소생각</x:v>
      </x:c>
      <x:c r="G135" s="112" t="str">
        <x:v>웹소설 직접</x:v>
      </x:c>
      <x:c r="H135" s="112" t="str">
        <x:v>초반부/연독률</x:v>
      </x:c>
      <x:c r="I135" s="112" t="n">
        <x:v>3</x:v>
      </x:c>
      <x:c r="J135" s="112" t="str">
        <x:v>무료 연재, 조회수, 연독</x:v>
      </x:c>
      <x:c r="K135" s="112" t="str">
        <x:v>본인 작성/의견 추정</x:v>
      </x:c>
      <x:c r="L135" s="112" t="str">
        <x:v>낮음</x:v>
      </x:c>
      <x:c r="M135" s="112" t="str">
        <x:v>재게시 표시는 없으나 저자성 직접 증거 부족</x:v>
      </x:c>
      <x:c r="N135" s="116" t="str"/>
      <x:c r="O135" s="116" t="str">
        <x:v>https://m.blog.naver.com/sntu2010/222253363083</x:v>
      </x:c>
      <x:c r="P135" s="112" t="str">
        <x:v>아니오</x:v>
      </x:c>
      <x:c r="Q135" s="113" t="str">
        <x:v>자동 분류·표본 검토 대상</x:v>
      </x:c>
    </x:row>
    <x:row r="136">
      <x:c r="A136" s="100" t="n">
        <x:v>135</x:v>
      </x:c>
      <x:c r="B136" s="101" t="n">
        <x:v>44249</x:v>
      </x:c>
      <x:c r="C136" s="102" t="n">
        <x:v>2021</x:v>
      </x:c>
      <x:c r="D136" s="103" t="str">
        <x:v>ID-222252196944</x:v>
      </x:c>
      <x:c r="E136" s="112" t="str">
        <x:v>주인공의 능력과 주인공 동료에 대해서</x:v>
      </x:c>
      <x:c r="F136" s="112" t="str">
        <x:v>웹소생각</x:v>
      </x:c>
      <x:c r="G136" s="112" t="str">
        <x:v>웹소설 직접</x:v>
      </x:c>
      <x:c r="H136" s="112" t="str">
        <x:v>캐릭터·전개</x:v>
      </x:c>
      <x:c r="I136" s="112" t="n">
        <x:v>48</x:v>
      </x:c>
      <x:c r="J136" s="112" t="str">
        <x:v>주인공, 에피소드</x:v>
      </x:c>
      <x:c r="K136" s="112" t="str">
        <x:v>본인 작성/의견 추정</x:v>
      </x:c>
      <x:c r="L136" s="112" t="str">
        <x:v>낮음</x:v>
      </x:c>
      <x:c r="M136" s="112" t="str">
        <x:v>재게시 표시는 없으나 저자성 직접 증거 부족</x:v>
      </x:c>
      <x:c r="N136" s="116" t="str"/>
      <x:c r="O136" s="116" t="str">
        <x:v>https://m.blog.naver.com/sntu2010/222252196944</x:v>
      </x:c>
      <x:c r="P136" s="112" t="str">
        <x:v>예</x:v>
      </x:c>
      <x:c r="Q136" s="113" t="str">
        <x:v>자동 분류·표본 검토 대상</x:v>
      </x:c>
    </x:row>
    <x:row r="137">
      <x:c r="A137" s="100" t="n">
        <x:v>136</x:v>
      </x:c>
      <x:c r="B137" s="101" t="n">
        <x:v>44247</x:v>
      </x:c>
      <x:c r="C137" s="102" t="n">
        <x:v>2021</x:v>
      </x:c>
      <x:c r="D137" s="103" t="str">
        <x:v>ID-222250304519</x:v>
      </x:c>
      <x:c r="E137" s="112" t="str">
        <x:v>웹소설을 써서 돈을 벌고 싶다면 명심해야 할 것</x:v>
      </x:c>
      <x:c r="F137" s="112" t="str">
        <x:v>웹소생각</x:v>
      </x:c>
      <x:c r="G137" s="112" t="str">
        <x:v>웹소설 직접</x:v>
      </x:c>
      <x:c r="H137" s="112" t="str">
        <x:v>작법·상업성</x:v>
      </x:c>
      <x:c r="I137" s="112" t="n">
        <x:v>8</x:v>
      </x:c>
      <x:c r="J137" s="112" t="str">
        <x:v>독자, 기대감, 제목, 소개글</x:v>
      </x:c>
      <x:c r="K137" s="112" t="str">
        <x:v>본인 경험담 추정</x:v>
      </x:c>
      <x:c r="L137" s="112" t="str">
        <x:v>중간</x:v>
      </x:c>
      <x:c r="M137" s="112" t="str">
        <x:v>1인칭 경험·작품·계약 표현</x:v>
      </x:c>
      <x:c r="N137" s="116" t="str"/>
      <x:c r="O137" s="116" t="str">
        <x:v>https://m.blog.naver.com/sntu2010/222250304519</x:v>
      </x:c>
      <x:c r="P137" s="112" t="str">
        <x:v>예</x:v>
      </x:c>
      <x:c r="Q137" s="113" t="str">
        <x:v>자동 분류·표본 검토 대상</x:v>
      </x:c>
    </x:row>
    <x:row r="138">
      <x:c r="A138" s="100" t="n">
        <x:v>137</x:v>
      </x:c>
      <x:c r="B138" s="101" t="n">
        <x:v>44247</x:v>
      </x:c>
      <x:c r="C138" s="102" t="n">
        <x:v>2021</x:v>
      </x:c>
      <x:c r="D138" s="103" t="str">
        <x:v>ID-222250110530</x:v>
      </x:c>
      <x:c r="E138" s="112" t="str">
        <x:v>[펌]투시할때 중요한것</x:v>
      </x:c>
      <x:c r="F138" s="112" t="str">
        <x:v>웹툰작법</x:v>
      </x:c>
      <x:c r="G138" s="112" t="str">
        <x:v>웹툰 참고</x:v>
      </x:c>
      <x:c r="H138" s="112" t="str">
        <x:v>작법·상업성</x:v>
      </x:c>
      <x:c r="I138" s="112" t="n">
        <x:v>1</x:v>
      </x:c>
      <x:c r="J138" s="112" t="str">
        <x:v>작법</x:v>
      </x:c>
      <x:c r="K138" s="112" t="str">
        <x:v>재게시</x:v>
      </x:c>
      <x:c r="L138" s="112" t="str">
        <x:v>높음</x:v>
      </x:c>
      <x:c r="M138" s="112" t="str">
        <x:v>제목의 펌/퍼옴 표시</x:v>
      </x:c>
      <x:c r="N138" s="116" t="str">
        <x:v>https://gall.dcinside.com/mgallery/board/view/?id=cartoonist&amp;no=69634&amp;s_type=search_subject_memo&amp;s_keyword=%ED%88%AC%EC%8B%9C&amp;page=1</x:v>
      </x:c>
      <x:c r="O138" s="116" t="str">
        <x:v>https://m.blog.naver.com/sntu2010/222250110530</x:v>
      </x:c>
      <x:c r="P138" s="112" t="str">
        <x:v>아니오</x:v>
      </x:c>
      <x:c r="Q138" s="113" t="str">
        <x:v>자동 분류·표본 검토 대상</x:v>
      </x:c>
    </x:row>
    <x:row r="139">
      <x:c r="A139" s="100" t="n">
        <x:v>138</x:v>
      </x:c>
      <x:c r="B139" s="101" t="n">
        <x:v>44247</x:v>
      </x:c>
      <x:c r="C139" s="102" t="n">
        <x:v>2021</x:v>
      </x:c>
      <x:c r="D139" s="103" t="str">
        <x:v>ID-222250067507</x:v>
      </x:c>
      <x:c r="E139" s="112" t="str">
        <x:v>[펌]그림 초보자도 일취월장하는 이미지 연습법</x:v>
      </x:c>
      <x:c r="F139" s="112" t="str">
        <x:v>웹툰작법</x:v>
      </x:c>
      <x:c r="G139" s="112" t="str">
        <x:v>웹툰 참고</x:v>
      </x:c>
      <x:c r="H139" s="112" t="str">
        <x:v>작법·상업성</x:v>
      </x:c>
      <x:c r="I139" s="112" t="n">
        <x:v>1</x:v>
      </x:c>
      <x:c r="J139" s="112" t="str">
        <x:v>작법</x:v>
      </x:c>
      <x:c r="K139" s="112" t="str">
        <x:v>재게시</x:v>
      </x:c>
      <x:c r="L139" s="112" t="str">
        <x:v>높음</x:v>
      </x:c>
      <x:c r="M139" s="112" t="str">
        <x:v>제목의 펌/퍼옴 표시</x:v>
      </x:c>
      <x:c r="N139" s="116" t="str">
        <x:v>https://bbs.ruliweb.com/hobby/board/300066/read/27233167</x:v>
      </x:c>
      <x:c r="O139" s="116" t="str">
        <x:v>https://m.blog.naver.com/sntu2010/222250067507</x:v>
      </x:c>
      <x:c r="P139" s="112" t="str">
        <x:v>아니오</x:v>
      </x:c>
      <x:c r="Q139" s="113" t="str">
        <x:v>자동 분류·표본 검토 대상</x:v>
      </x:c>
    </x:row>
    <x:row r="140">
      <x:c r="A140" s="100" t="n">
        <x:v>139</x:v>
      </x:c>
      <x:c r="B140" s="101" t="n">
        <x:v>44247</x:v>
      </x:c>
      <x:c r="C140" s="102" t="n">
        <x:v>2021</x:v>
      </x:c>
      <x:c r="D140" s="103" t="str">
        <x:v>ID-222250063092</x:v>
      </x:c>
      <x:c r="E140" s="112" t="str">
        <x:v>[펌]오랜시간 연구한 판타블렛 최적 셋팅</x:v>
      </x:c>
      <x:c r="F140" s="112" t="str">
        <x:v>웹툰작법</x:v>
      </x:c>
      <x:c r="G140" s="112" t="str">
        <x:v>웹툰 참고</x:v>
      </x:c>
      <x:c r="H140" s="112" t="str">
        <x:v>작법·상업성</x:v>
      </x:c>
      <x:c r="I140" s="112" t="n">
        <x:v>1</x:v>
      </x:c>
      <x:c r="J140" s="112" t="str">
        <x:v>작법</x:v>
      </x:c>
      <x:c r="K140" s="112" t="str">
        <x:v>재게시</x:v>
      </x:c>
      <x:c r="L140" s="112" t="str">
        <x:v>높음</x:v>
      </x:c>
      <x:c r="M140" s="112" t="str">
        <x:v>제목의 펌/퍼옴 표시</x:v>
      </x:c>
      <x:c r="N140" s="116" t="str">
        <x:v>https://gall.dcinside.com/mgallery/board/view/?id=drawing&amp;no=147575&amp;search_head=110&amp;page=1</x:v>
      </x:c>
      <x:c r="O140" s="116" t="str">
        <x:v>https://m.blog.naver.com/sntu2010/222250063092</x:v>
      </x:c>
      <x:c r="P140" s="112" t="str">
        <x:v>아니오</x:v>
      </x:c>
      <x:c r="Q140" s="113" t="str">
        <x:v>자동 분류·표본 검토 대상</x:v>
      </x:c>
    </x:row>
    <x:row r="141">
      <x:c r="A141" s="100" t="n">
        <x:v>140</x:v>
      </x:c>
      <x:c r="B141" s="101" t="n">
        <x:v>44247</x:v>
      </x:c>
      <x:c r="C141" s="102" t="n">
        <x:v>2021</x:v>
      </x:c>
      <x:c r="D141" s="103" t="str">
        <x:v>ID-222250042752</x:v>
      </x:c>
      <x:c r="E141" s="112" t="str">
        <x:v>[펌]그림 잘그리는 실질적 기술 설명하는 만화 그려봄</x:v>
      </x:c>
      <x:c r="F141" s="112" t="str">
        <x:v>웹툰작법</x:v>
      </x:c>
      <x:c r="G141" s="112" t="str">
        <x:v>웹툰 참고</x:v>
      </x:c>
      <x:c r="H141" s="112" t="str">
        <x:v>작법·상업성</x:v>
      </x:c>
      <x:c r="I141" s="112" t="n">
        <x:v>1</x:v>
      </x:c>
      <x:c r="J141" s="112" t="str">
        <x:v>작법</x:v>
      </x:c>
      <x:c r="K141" s="112" t="str">
        <x:v>재게시</x:v>
      </x:c>
      <x:c r="L141" s="112" t="str">
        <x:v>높음</x:v>
      </x:c>
      <x:c r="M141" s="112" t="str">
        <x:v>제목의 펌/퍼옴 표시</x:v>
      </x:c>
      <x:c r="N141" s="116" t="str">
        <x:v>https://gall.dcinside.com/mgallery/board/view/?id=drawing&amp;no=150239&amp;search_head=110&amp;page=1</x:v>
      </x:c>
      <x:c r="O141" s="116" t="str">
        <x:v>https://m.blog.naver.com/sntu2010/222250042752</x:v>
      </x:c>
      <x:c r="P141" s="112" t="str">
        <x:v>아니오</x:v>
      </x:c>
      <x:c r="Q141" s="113" t="str">
        <x:v>자동 분류·표본 검토 대상</x:v>
      </x:c>
    </x:row>
    <x:row r="142">
      <x:c r="A142" s="100" t="n">
        <x:v>141</x:v>
      </x:c>
      <x:c r="B142" s="101" t="n">
        <x:v>44238</x:v>
      </x:c>
      <x:c r="C142" s="102" t="n">
        <x:v>2021</x:v>
      </x:c>
      <x:c r="D142" s="103" t="str">
        <x:v>ID-222240046269</x:v>
      </x:c>
      <x:c r="E142" s="112" t="str">
        <x:v>[펌]쓸 내용이 막막할때 짧팁</x:v>
      </x:c>
      <x:c r="F142" s="112" t="str">
        <x:v>웹소작법</x:v>
      </x:c>
      <x:c r="G142" s="112" t="str">
        <x:v>웹소설 직접</x:v>
      </x:c>
      <x:c r="H142" s="112" t="str">
        <x:v>캐릭터·전개</x:v>
      </x:c>
      <x:c r="I142" s="112" t="n">
        <x:v>4</x:v>
      </x:c>
      <x:c r="J142" s="112" t="str">
        <x:v>캐릭터, 서사, 전개</x:v>
      </x:c>
      <x:c r="K142" s="112" t="str">
        <x:v>재게시</x:v>
      </x:c>
      <x:c r="L142" s="112" t="str">
        <x:v>높음</x:v>
      </x:c>
      <x:c r="M142" s="112" t="str">
        <x:v>제목의 펌/퍼옴 표시</x:v>
      </x:c>
      <x:c r="N142" s="116" t="str">
        <x:v>https://gall.dcinside.com/mgallery/board/view/?id=tgijjdd&amp;no=441787&amp;exception_mode=recommend&amp;page=1</x:v>
      </x:c>
      <x:c r="O142" s="116" t="str">
        <x:v>https://m.blog.naver.com/sntu2010/222240046269</x:v>
      </x:c>
      <x:c r="P142" s="112" t="str">
        <x:v>아니오</x:v>
      </x:c>
      <x:c r="Q142" s="113" t="str">
        <x:v>자동 분류·표본 검토 대상</x:v>
      </x:c>
    </x:row>
    <x:row r="143">
      <x:c r="A143" s="100" t="n">
        <x:v>142</x:v>
      </x:c>
      <x:c r="B143" s="101" t="n">
        <x:v>44235</x:v>
      </x:c>
      <x:c r="C143" s="102" t="n">
        <x:v>2021</x:v>
      </x:c>
      <x:c r="D143" s="103" t="str">
        <x:v>ID-222236181109</x:v>
      </x:c>
      <x:c r="E143" s="112" t="str">
        <x:v>'지망생'을 빨리 탈출하는 방법</x:v>
      </x:c>
      <x:c r="F143" s="112" t="str">
        <x:v>웹소생각</x:v>
      </x:c>
      <x:c r="G143" s="112" t="str">
        <x:v>웹소설 직접</x:v>
      </x:c>
      <x:c r="H143" s="112" t="str">
        <x:v>기타/검토</x:v>
      </x:c>
      <x:c r="I143" s="112" t="n">
        <x:v>0</x:v>
      </x:c>
      <x:c r="J143" s="112" t="str"/>
      <x:c r="K143" s="112" t="str">
        <x:v>본인 작성/의견 추정</x:v>
      </x:c>
      <x:c r="L143" s="112" t="str">
        <x:v>낮음</x:v>
      </x:c>
      <x:c r="M143" s="112" t="str">
        <x:v>재게시 표시는 없으나 저자성 직접 증거 부족</x:v>
      </x:c>
      <x:c r="N143" s="116" t="str"/>
      <x:c r="O143" s="116" t="str">
        <x:v>https://m.blog.naver.com/sntu2010/222236181109</x:v>
      </x:c>
      <x:c r="P143" s="112" t="str">
        <x:v>아니오</x:v>
      </x:c>
      <x:c r="Q143" s="113" t="str">
        <x:v>수동 검토 필요</x:v>
      </x:c>
    </x:row>
    <x:row r="144">
      <x:c r="A144" s="100" t="n">
        <x:v>143</x:v>
      </x:c>
      <x:c r="B144" s="101" t="n">
        <x:v>44233</x:v>
      </x:c>
      <x:c r="C144" s="102" t="n">
        <x:v>2021</x:v>
      </x:c>
      <x:c r="D144" s="103" t="str">
        <x:v>ID-222234568652</x:v>
      </x:c>
      <x:c r="E144" s="112" t="str">
        <x:v>당신은 '가능성이 있는 상태'에 중독 되어있지 않은가요?</x:v>
      </x:c>
      <x:c r="F144" s="112" t="str">
        <x:v>웹소생각</x:v>
      </x:c>
      <x:c r="G144" s="112" t="str">
        <x:v>웹소설 직접</x:v>
      </x:c>
      <x:c r="H144" s="112" t="str">
        <x:v>기타/검토</x:v>
      </x:c>
      <x:c r="I144" s="112" t="n">
        <x:v>0</x:v>
      </x:c>
      <x:c r="J144" s="112" t="str"/>
      <x:c r="K144" s="112" t="str">
        <x:v>본인 작성/의견 추정</x:v>
      </x:c>
      <x:c r="L144" s="112" t="str">
        <x:v>낮음</x:v>
      </x:c>
      <x:c r="M144" s="112" t="str">
        <x:v>재게시 표시는 없으나 저자성 직접 증거 부족</x:v>
      </x:c>
      <x:c r="N144" s="116" t="str"/>
      <x:c r="O144" s="116" t="str">
        <x:v>https://m.blog.naver.com/sntu2010/222234568652</x:v>
      </x:c>
      <x:c r="P144" s="112" t="str">
        <x:v>아니오</x:v>
      </x:c>
      <x:c r="Q144" s="113" t="str">
        <x:v>수동 검토 필요</x:v>
      </x:c>
    </x:row>
    <x:row r="145">
      <x:c r="A145" s="100" t="n">
        <x:v>144</x:v>
      </x:c>
      <x:c r="B145" s="101" t="n">
        <x:v>44233</x:v>
      </x:c>
      <x:c r="C145" s="102" t="n">
        <x:v>2021</x:v>
      </x:c>
      <x:c r="D145" s="103" t="str">
        <x:v>ID-222234251916</x:v>
      </x:c>
      <x:c r="E145" s="112" t="str">
        <x:v>2021년 2월 6일 오후 6시 7분에 저장한 글입니다.</x:v>
      </x:c>
      <x:c r="F145" s="112" t="str">
        <x:v>웹툰생각</x:v>
      </x:c>
      <x:c r="G145" s="112" t="str">
        <x:v>웹툰 참고</x:v>
      </x:c>
      <x:c r="H145" s="112" t="str">
        <x:v>기타/검토</x:v>
      </x:c>
      <x:c r="I145" s="112" t="n">
        <x:v>0</x:v>
      </x:c>
      <x:c r="J145" s="112" t="str"/>
      <x:c r="K145" s="112" t="str">
        <x:v>본인 작성/의견 추정</x:v>
      </x:c>
      <x:c r="L145" s="112" t="str">
        <x:v>낮음</x:v>
      </x:c>
      <x:c r="M145" s="112" t="str">
        <x:v>재게시 표시는 없으나 저자성 직접 증거 부족</x:v>
      </x:c>
      <x:c r="N145" s="116" t="str"/>
      <x:c r="O145" s="116" t="str">
        <x:v>https://m.blog.naver.com/sntu2010/222234251916</x:v>
      </x:c>
      <x:c r="P145" s="112" t="str">
        <x:v>아니오</x:v>
      </x:c>
      <x:c r="Q145" s="113" t="str">
        <x:v>수동 검토 필요</x:v>
      </x:c>
    </x:row>
    <x:row r="146">
      <x:c r="A146" s="100" t="n">
        <x:v>145</x:v>
      </x:c>
      <x:c r="B146" s="101" t="n">
        <x:v>44232</x:v>
      </x:c>
      <x:c r="C146" s="102" t="n">
        <x:v>2021</x:v>
      </x:c>
      <x:c r="D146" s="103" t="str">
        <x:v>ID-222232711015</x:v>
      </x:c>
      <x:c r="E146" s="112" t="str">
        <x:v>2021년 2월 5일 오전 11시 13분에 저장한 글입니다.</x:v>
      </x:c>
      <x:c r="F146" s="112" t="str">
        <x:v>웹툰생각</x:v>
      </x:c>
      <x:c r="G146" s="112" t="str">
        <x:v>웹툰 참고</x:v>
      </x:c>
      <x:c r="H146" s="112" t="str">
        <x:v>기타/검토</x:v>
      </x:c>
      <x:c r="I146" s="112" t="n">
        <x:v>0</x:v>
      </x:c>
      <x:c r="J146" s="112" t="str"/>
      <x:c r="K146" s="112" t="str">
        <x:v>본인 작성/의견 추정</x:v>
      </x:c>
      <x:c r="L146" s="112" t="str">
        <x:v>낮음</x:v>
      </x:c>
      <x:c r="M146" s="112" t="str">
        <x:v>재게시 표시는 없으나 저자성 직접 증거 부족</x:v>
      </x:c>
      <x:c r="N146" s="116" t="str"/>
      <x:c r="O146" s="116" t="str">
        <x:v>https://m.blog.naver.com/sntu2010/222232711015</x:v>
      </x:c>
      <x:c r="P146" s="112" t="str">
        <x:v>아니오</x:v>
      </x:c>
      <x:c r="Q146" s="113" t="str">
        <x:v>수동 검토 필요</x:v>
      </x:c>
    </x:row>
    <x:row r="147">
      <x:c r="A147" s="100" t="n">
        <x:v>146</x:v>
      </x:c>
      <x:c r="B147" s="101" t="n">
        <x:v>44232</x:v>
      </x:c>
      <x:c r="C147" s="102" t="n">
        <x:v>2021</x:v>
      </x:c>
      <x:c r="D147" s="103" t="str">
        <x:v>ID-222232704825</x:v>
      </x:c>
      <x:c r="E147" s="112" t="str">
        <x:v>[펌]색 이론을 배우고 싶다면 추천하는 해외 유튜버 탑3 (주의: 영어)</x:v>
      </x:c>
      <x:c r="F147" s="112" t="str">
        <x:v>웹툰작법</x:v>
      </x:c>
      <x:c r="G147" s="112" t="str">
        <x:v>웹툰 참고</x:v>
      </x:c>
      <x:c r="H147" s="112" t="str">
        <x:v>작법·상업성</x:v>
      </x:c>
      <x:c r="I147" s="112" t="n">
        <x:v>1</x:v>
      </x:c>
      <x:c r="J147" s="112" t="str">
        <x:v>작법</x:v>
      </x:c>
      <x:c r="K147" s="112" t="str">
        <x:v>재게시</x:v>
      </x:c>
      <x:c r="L147" s="112" t="str">
        <x:v>높음</x:v>
      </x:c>
      <x:c r="M147" s="112" t="str">
        <x:v>제목의 펌/퍼옴 표시</x:v>
      </x:c>
      <x:c r="N147" s="116" t="str">
        <x:v>https://gall.dcinside.com/mgallery/board/view/?id=drawing&amp;no=145505&amp;search_head=110&amp;page=1</x:v>
      </x:c>
      <x:c r="O147" s="116" t="str">
        <x:v>https://m.blog.naver.com/sntu2010/222232704825</x:v>
      </x:c>
      <x:c r="P147" s="112" t="str">
        <x:v>아니오</x:v>
      </x:c>
      <x:c r="Q147" s="113" t="str">
        <x:v>자동 분류·표본 검토 대상</x:v>
      </x:c>
    </x:row>
    <x:row r="148">
      <x:c r="A148" s="100" t="n">
        <x:v>147</x:v>
      </x:c>
      <x:c r="B148" s="101" t="n">
        <x:v>44228</x:v>
      </x:c>
      <x:c r="C148" s="102" t="n">
        <x:v>2021</x:v>
      </x:c>
      <x:c r="D148" s="103" t="str">
        <x:v>ID-222227369751</x:v>
      </x:c>
      <x:c r="E148" s="112" t="str">
        <x:v>[펌]튜토리얼 요정의 초보자용 스타터팩 - 전개 예상시키기</x:v>
      </x:c>
      <x:c r="F148" s="112" t="str">
        <x:v>웹소작법</x:v>
      </x:c>
      <x:c r="G148" s="112" t="str">
        <x:v>웹소설 직접</x:v>
      </x:c>
      <x:c r="H148" s="112" t="str">
        <x:v>캐릭터·전개</x:v>
      </x:c>
      <x:c r="I148" s="112" t="n">
        <x:v>21</x:v>
      </x:c>
      <x:c r="J148" s="112" t="str">
        <x:v>전개, 주인공</x:v>
      </x:c>
      <x:c r="K148" s="112" t="str">
        <x:v>재게시</x:v>
      </x:c>
      <x:c r="L148" s="112" t="str">
        <x:v>높음</x:v>
      </x:c>
      <x:c r="M148" s="112" t="str">
        <x:v>제목의 펌/퍼옴 표시</x:v>
      </x:c>
      <x:c r="N148" s="116" t="str">
        <x:v>https://gall.dcinside.com/mgallery/board/view/?id=tgijjdd&amp;no=437760&amp;exception_mode=recommend&amp;page=1</x:v>
      </x:c>
      <x:c r="O148" s="116" t="str">
        <x:v>https://m.blog.naver.com/sntu2010/222227369751</x:v>
      </x:c>
      <x:c r="P148" s="112" t="str">
        <x:v>예</x:v>
      </x:c>
      <x:c r="Q148" s="113" t="str">
        <x:v>자동 분류·표본 검토 대상</x:v>
      </x:c>
    </x:row>
    <x:row r="149">
      <x:c r="A149" s="100" t="n">
        <x:v>148</x:v>
      </x:c>
      <x:c r="B149" s="101" t="n">
        <x:v>44225</x:v>
      </x:c>
      <x:c r="C149" s="102" t="n">
        <x:v>2021</x:v>
      </x:c>
      <x:c r="D149" s="103" t="str">
        <x:v>ID-222224778329</x:v>
      </x:c>
      <x:c r="E149" s="112" t="str">
        <x:v>[펌]3점투시 점을 찍는 방법을 알려주겠다</x:v>
      </x:c>
      <x:c r="F149" s="112" t="str">
        <x:v>웹툰작법</x:v>
      </x:c>
      <x:c r="G149" s="112" t="str">
        <x:v>웹툰 참고</x:v>
      </x:c>
      <x:c r="H149" s="112" t="str">
        <x:v>작법·상업성</x:v>
      </x:c>
      <x:c r="I149" s="112" t="n">
        <x:v>2</x:v>
      </x:c>
      <x:c r="J149" s="112" t="str">
        <x:v>설정, 작법</x:v>
      </x:c>
      <x:c r="K149" s="112" t="str">
        <x:v>재게시</x:v>
      </x:c>
      <x:c r="L149" s="112" t="str">
        <x:v>높음</x:v>
      </x:c>
      <x:c r="M149" s="112" t="str">
        <x:v>제목의 펌/퍼옴 표시</x:v>
      </x:c>
      <x:c r="N149" s="116" t="str">
        <x:v>https://gall.dcinside.com/mgallery/board/view/?id=drawing&amp;no=142849&amp;search_head=110&amp;page=1</x:v>
      </x:c>
      <x:c r="O149" s="116" t="str">
        <x:v>https://m.blog.naver.com/sntu2010/222224778329</x:v>
      </x:c>
      <x:c r="P149" s="112" t="str">
        <x:v>아니오</x:v>
      </x:c>
      <x:c r="Q149" s="113" t="str">
        <x:v>자동 분류·표본 검토 대상</x:v>
      </x:c>
    </x:row>
    <x:row r="150">
      <x:c r="A150" s="100" t="n">
        <x:v>149</x:v>
      </x:c>
      <x:c r="B150" s="101" t="n">
        <x:v>44225</x:v>
      </x:c>
      <x:c r="C150" s="102" t="n">
        <x:v>2021</x:v>
      </x:c>
      <x:c r="D150" s="103" t="str">
        <x:v>ID-222224777729</x:v>
      </x:c>
      <x:c r="E150" s="112" t="str">
        <x:v>[펌] 2점투시에서 정육면체를 그려보자</x:v>
      </x:c>
      <x:c r="F150" s="112" t="str">
        <x:v>웹툰작법</x:v>
      </x:c>
      <x:c r="G150" s="112" t="str">
        <x:v>웹툰 참고</x:v>
      </x:c>
      <x:c r="H150" s="112" t="str">
        <x:v>작법·상업성</x:v>
      </x:c>
      <x:c r="I150" s="112" t="n">
        <x:v>1</x:v>
      </x:c>
      <x:c r="J150" s="112" t="str">
        <x:v>작법</x:v>
      </x:c>
      <x:c r="K150" s="112" t="str">
        <x:v>재게시</x:v>
      </x:c>
      <x:c r="L150" s="112" t="str">
        <x:v>높음</x:v>
      </x:c>
      <x:c r="M150" s="112" t="str">
        <x:v>제목의 펌/퍼옴 표시</x:v>
      </x:c>
      <x:c r="N150" s="116" t="str">
        <x:v>https://gall.dcinside.com/mgallery/board/view/?id=drawing&amp;no=143159&amp;search_head=110&amp;page=1</x:v>
      </x:c>
      <x:c r="O150" s="116" t="str">
        <x:v>https://m.blog.naver.com/sntu2010/222224777729</x:v>
      </x:c>
      <x:c r="P150" s="112" t="str">
        <x:v>아니오</x:v>
      </x:c>
      <x:c r="Q150" s="113" t="str">
        <x:v>자동 분류·표본 검토 대상</x:v>
      </x:c>
    </x:row>
    <x:row r="151">
      <x:c r="A151" s="100" t="n">
        <x:v>150</x:v>
      </x:c>
      <x:c r="B151" s="101" t="n">
        <x:v>44219</x:v>
      </x:c>
      <x:c r="C151" s="102" t="n">
        <x:v>2021</x:v>
      </x:c>
      <x:c r="D151" s="103" t="str">
        <x:v>ID-222217026529</x:v>
      </x:c>
      <x:c r="E151" s="112" t="str">
        <x:v>[펌]러프에 대한 고찰</x:v>
      </x:c>
      <x:c r="F151" s="112" t="str">
        <x:v>웹툰작법</x:v>
      </x:c>
      <x:c r="G151" s="112" t="str">
        <x:v>웹툰 참고</x:v>
      </x:c>
      <x:c r="H151" s="112" t="str">
        <x:v>작법·상업성</x:v>
      </x:c>
      <x:c r="I151" s="112" t="n">
        <x:v>1</x:v>
      </x:c>
      <x:c r="J151" s="112" t="str">
        <x:v>작법</x:v>
      </x:c>
      <x:c r="K151" s="112" t="str">
        <x:v>재게시</x:v>
      </x:c>
      <x:c r="L151" s="112" t="str">
        <x:v>높음</x:v>
      </x:c>
      <x:c r="M151" s="112" t="str">
        <x:v>제목의 펌/퍼옴 표시</x:v>
      </x:c>
      <x:c r="N151" s="116" t="str">
        <x:v>https://gall.dcinside.com/mgallery/board/view/?id=drawing&amp;no=141211&amp;search_head=110&amp;page=1</x:v>
      </x:c>
      <x:c r="O151" s="116" t="str">
        <x:v>https://m.blog.naver.com/sntu2010/222217026529</x:v>
      </x:c>
      <x:c r="P151" s="112" t="str">
        <x:v>아니오</x:v>
      </x:c>
      <x:c r="Q151" s="113" t="str">
        <x:v>자동 분류·표본 검토 대상</x:v>
      </x:c>
    </x:row>
    <x:row r="152">
      <x:c r="A152" s="100" t="n">
        <x:v>151</x:v>
      </x:c>
      <x:c r="B152" s="101" t="n">
        <x:v>44215</x:v>
      </x:c>
      <x:c r="C152" s="102" t="n">
        <x:v>2021</x:v>
      </x:c>
      <x:c r="D152" s="103" t="str">
        <x:v>ID-222212444545</x:v>
      </x:c>
      <x:c r="E152" s="112" t="str">
        <x:v>[펌]구상하는 게 어렵다고 느껴지시는 분들께 제시하는 예시</x:v>
      </x:c>
      <x:c r="F152" s="112" t="str">
        <x:v>웹소작법</x:v>
      </x:c>
      <x:c r="G152" s="112" t="str">
        <x:v>웹소설 직접</x:v>
      </x:c>
      <x:c r="H152" s="112" t="str">
        <x:v>작법·상업성</x:v>
      </x:c>
      <x:c r="I152" s="112" t="n">
        <x:v>1</x:v>
      </x:c>
      <x:c r="J152" s="112" t="str">
        <x:v>작법</x:v>
      </x:c>
      <x:c r="K152" s="112" t="str">
        <x:v>재게시</x:v>
      </x:c>
      <x:c r="L152" s="112" t="str">
        <x:v>높음</x:v>
      </x:c>
      <x:c r="M152" s="112" t="str">
        <x:v>제목의 펌/퍼옴 표시</x:v>
      </x:c>
      <x:c r="N152" s="116" t="str">
        <x:v>https://gall.dcinside.com/mgallery/board/view/?id=tgijjdd&amp;no=431981&amp;exception_mode=recommend&amp;page=1</x:v>
      </x:c>
      <x:c r="O152" s="116" t="str">
        <x:v>https://m.blog.naver.com/sntu2010/222212444545</x:v>
      </x:c>
      <x:c r="P152" s="112" t="str">
        <x:v>아니오</x:v>
      </x:c>
      <x:c r="Q152" s="113" t="str">
        <x:v>자동 분류·표본 검토 대상</x:v>
      </x:c>
    </x:row>
    <x:row r="153">
      <x:c r="A153" s="100" t="n">
        <x:v>152</x:v>
      </x:c>
      <x:c r="B153" s="101" t="n">
        <x:v>44215</x:v>
      </x:c>
      <x:c r="C153" s="102" t="n">
        <x:v>2021</x:v>
      </x:c>
      <x:c r="D153" s="103" t="str">
        <x:v>ID-222212443940</x:v>
      </x:c>
      <x:c r="E153" s="112" t="str">
        <x:v>[펌]웹소설식 작법 없이 웹소설 쓰는 망생이들에게</x:v>
      </x:c>
      <x:c r="F153" s="112" t="str">
        <x:v>웹소작법</x:v>
      </x:c>
      <x:c r="G153" s="112" t="str">
        <x:v>웹소설 직접</x:v>
      </x:c>
      <x:c r="H153" s="112" t="str">
        <x:v>작법·상업성</x:v>
      </x:c>
      <x:c r="I153" s="112" t="n">
        <x:v>24</x:v>
      </x:c>
      <x:c r="J153" s="112" t="str">
        <x:v>작법</x:v>
      </x:c>
      <x:c r="K153" s="112" t="str">
        <x:v>재게시</x:v>
      </x:c>
      <x:c r="L153" s="112" t="str">
        <x:v>높음</x:v>
      </x:c>
      <x:c r="M153" s="112" t="str">
        <x:v>제목의 펌/퍼옴 표시</x:v>
      </x:c>
      <x:c r="N153" s="116" t="str">
        <x:v>https://gall.dcinside.com/mgallery/board/view/?id=tgijjdd&amp;no=431420&amp;exception_mode=recommend&amp;page=1</x:v>
      </x:c>
      <x:c r="O153" s="116" t="str">
        <x:v>https://m.blog.naver.com/sntu2010/222212443940</x:v>
      </x:c>
      <x:c r="P153" s="112" t="str">
        <x:v>예</x:v>
      </x:c>
      <x:c r="Q153" s="113" t="str">
        <x:v>자동 분류·표본 검토 대상</x:v>
      </x:c>
    </x:row>
    <x:row r="154">
      <x:c r="A154" s="100" t="n">
        <x:v>153</x:v>
      </x:c>
      <x:c r="B154" s="101" t="n">
        <x:v>44215</x:v>
      </x:c>
      <x:c r="C154" s="102" t="n">
        <x:v>2021</x:v>
      </x:c>
      <x:c r="D154" s="103" t="str">
        <x:v>ID-222212438172</x:v>
      </x:c>
      <x:c r="E154" s="112" t="str">
        <x:v>[펌]팁1 - 문장</x:v>
      </x:c>
      <x:c r="F154" s="112" t="str">
        <x:v>웹소작법</x:v>
      </x:c>
      <x:c r="G154" s="112" t="str">
        <x:v>웹소설 직접</x:v>
      </x:c>
      <x:c r="H154" s="112" t="str">
        <x:v>작법·상업성</x:v>
      </x:c>
      <x:c r="I154" s="112" t="n">
        <x:v>28</x:v>
      </x:c>
      <x:c r="J154" s="112" t="str">
        <x:v>문장, 독자, 트렌드, 작법</x:v>
      </x:c>
      <x:c r="K154" s="112" t="str">
        <x:v>재게시</x:v>
      </x:c>
      <x:c r="L154" s="112" t="str">
        <x:v>높음</x:v>
      </x:c>
      <x:c r="M154" s="112" t="str">
        <x:v>제목의 펌/퍼옴 표시</x:v>
      </x:c>
      <x:c r="N154" s="116" t="str">
        <x:v>https://gall.dcinside.com/mgallery/board/view/?id=tgijjdd&amp;no=429058&amp;exception_mode=recommend&amp;page=2</x:v>
      </x:c>
      <x:c r="O154" s="116" t="str">
        <x:v>https://m.blog.naver.com/sntu2010/222212438172</x:v>
      </x:c>
      <x:c r="P154" s="112" t="str">
        <x:v>예</x:v>
      </x:c>
      <x:c r="Q154" s="113" t="str">
        <x:v>자동 분류·표본 검토 대상</x:v>
      </x:c>
    </x:row>
    <x:row r="155">
      <x:c r="A155" s="100" t="n">
        <x:v>154</x:v>
      </x:c>
      <x:c r="B155" s="101" t="n">
        <x:v>44215</x:v>
      </x:c>
      <x:c r="C155" s="102" t="n">
        <x:v>2021</x:v>
      </x:c>
      <x:c r="D155" s="103" t="str">
        <x:v>ID-222212437421</x:v>
      </x:c>
      <x:c r="E155" s="112" t="str">
        <x:v>[펌]장편을 쓸때는 복합플롯</x:v>
      </x:c>
      <x:c r="F155" s="112" t="str">
        <x:v>웹소작법</x:v>
      </x:c>
      <x:c r="G155" s="112" t="str">
        <x:v>웹소설 직접</x:v>
      </x:c>
      <x:c r="H155" s="112" t="str">
        <x:v>캐릭터·전개</x:v>
      </x:c>
      <x:c r="I155" s="112" t="n">
        <x:v>21</x:v>
      </x:c>
      <x:c r="J155" s="112" t="str">
        <x:v>플롯</x:v>
      </x:c>
      <x:c r="K155" s="112" t="str">
        <x:v>재게시</x:v>
      </x:c>
      <x:c r="L155" s="112" t="str">
        <x:v>높음</x:v>
      </x:c>
      <x:c r="M155" s="112" t="str">
        <x:v>제목의 펌/퍼옴 표시</x:v>
      </x:c>
      <x:c r="N155" s="116" t="str">
        <x:v>https://gall.dcinside.com/mgallery/board/view/?id=tgijjdd&amp;no=428789&amp;exception_mode=recommend&amp;page=2</x:v>
      </x:c>
      <x:c r="O155" s="116" t="str">
        <x:v>https://m.blog.naver.com/sntu2010/222212437421</x:v>
      </x:c>
      <x:c r="P155" s="112" t="str">
        <x:v>예</x:v>
      </x:c>
      <x:c r="Q155" s="113" t="str">
        <x:v>자동 분류·표본 검토 대상</x:v>
      </x:c>
    </x:row>
    <x:row r="156">
      <x:c r="A156" s="100" t="n">
        <x:v>155</x:v>
      </x:c>
      <x:c r="B156" s="101" t="n">
        <x:v>44215</x:v>
      </x:c>
      <x:c r="C156" s="102" t="n">
        <x:v>2021</x:v>
      </x:c>
      <x:c r="D156" s="103" t="str">
        <x:v>ID-222212436889</x:v>
      </x:c>
      <x:c r="E156" s="112" t="str">
        <x:v>[펌]좋은 장면을 만드는 방법 (액션 리액션)</x:v>
      </x:c>
      <x:c r="F156" s="112" t="str">
        <x:v>웹소작법</x:v>
      </x:c>
      <x:c r="G156" s="112" t="str">
        <x:v>웹소설 직접</x:v>
      </x:c>
      <x:c r="H156" s="112" t="str">
        <x:v>캐릭터·전개</x:v>
      </x:c>
      <x:c r="I156" s="112" t="n">
        <x:v>1</x:v>
      </x:c>
      <x:c r="J156" s="112" t="str">
        <x:v>플롯</x:v>
      </x:c>
      <x:c r="K156" s="112" t="str">
        <x:v>재게시</x:v>
      </x:c>
      <x:c r="L156" s="112" t="str">
        <x:v>높음</x:v>
      </x:c>
      <x:c r="M156" s="112" t="str">
        <x:v>제목의 펌/퍼옴 표시</x:v>
      </x:c>
      <x:c r="N156" s="116" t="str">
        <x:v>https://gall.dcinside.com/mgallery/board/view/?id=tgijjdd&amp;no=428665&amp;exception_mode=recommend&amp;page=2</x:v>
      </x:c>
      <x:c r="O156" s="116" t="str">
        <x:v>https://m.blog.naver.com/sntu2010/222212436889</x:v>
      </x:c>
      <x:c r="P156" s="112" t="str">
        <x:v>아니오</x:v>
      </x:c>
      <x:c r="Q156" s="113" t="str">
        <x:v>자동 분류·표본 검토 대상</x:v>
      </x:c>
    </x:row>
    <x:row r="157">
      <x:c r="A157" s="100" t="n">
        <x:v>156</x:v>
      </x:c>
      <x:c r="B157" s="101" t="n">
        <x:v>44215</x:v>
      </x:c>
      <x:c r="C157" s="102" t="n">
        <x:v>2021</x:v>
      </x:c>
      <x:c r="D157" s="103" t="str">
        <x:v>ID-222212436125</x:v>
      </x:c>
      <x:c r="E157" s="112" t="str">
        <x:v>[펌]긴장을 유지하는 방법에는 뭐가 있을까? 오들오들</x:v>
      </x:c>
      <x:c r="F157" s="112" t="str">
        <x:v>웹소작법</x:v>
      </x:c>
      <x:c r="G157" s="112" t="str">
        <x:v>웹소설 직접</x:v>
      </x:c>
      <x:c r="H157" s="112" t="str">
        <x:v>캐릭터·전개</x:v>
      </x:c>
      <x:c r="I157" s="112" t="n">
        <x:v>3</x:v>
      </x:c>
      <x:c r="J157" s="112" t="str">
        <x:v>플롯, 주인공</x:v>
      </x:c>
      <x:c r="K157" s="112" t="str">
        <x:v>재게시</x:v>
      </x:c>
      <x:c r="L157" s="112" t="str">
        <x:v>높음</x:v>
      </x:c>
      <x:c r="M157" s="112" t="str">
        <x:v>제목의 펌/퍼옴 표시</x:v>
      </x:c>
      <x:c r="N157" s="116" t="str">
        <x:v>https://gall.dcinside.com/mgallery/board/view/?id=tgijjdd&amp;no=428261&amp;exception_mode=recommend&amp;page=3</x:v>
      </x:c>
      <x:c r="O157" s="116" t="str">
        <x:v>https://m.blog.naver.com/sntu2010/222212436125</x:v>
      </x:c>
      <x:c r="P157" s="112" t="str">
        <x:v>아니오</x:v>
      </x:c>
      <x:c r="Q157" s="113" t="str">
        <x:v>자동 분류·표본 검토 대상</x:v>
      </x:c>
    </x:row>
    <x:row r="158">
      <x:c r="A158" s="100" t="n">
        <x:v>157</x:v>
      </x:c>
      <x:c r="B158" s="101" t="n">
        <x:v>44215</x:v>
      </x:c>
      <x:c r="C158" s="102" t="n">
        <x:v>2021</x:v>
      </x:c>
      <x:c r="D158" s="103" t="str">
        <x:v>ID-222212434232</x:v>
      </x:c>
      <x:c r="E158" s="112" t="str">
        <x:v>[펌]떡밥에 대해서 덧붙이자면</x:v>
      </x:c>
      <x:c r="F158" s="112" t="str">
        <x:v>웹소작법</x:v>
      </x:c>
      <x:c r="G158" s="112" t="str">
        <x:v>웹소설 직접</x:v>
      </x:c>
      <x:c r="H158" s="112" t="str">
        <x:v>캐릭터·전개</x:v>
      </x:c>
      <x:c r="I158" s="112" t="n">
        <x:v>8</x:v>
      </x:c>
      <x:c r="J158" s="112" t="str">
        <x:v>플롯, 주인공, 사건, 인물</x:v>
      </x:c>
      <x:c r="K158" s="112" t="str">
        <x:v>재게시</x:v>
      </x:c>
      <x:c r="L158" s="112" t="str">
        <x:v>높음</x:v>
      </x:c>
      <x:c r="M158" s="112" t="str">
        <x:v>제목의 펌/퍼옴 표시</x:v>
      </x:c>
      <x:c r="N158" s="116" t="str">
        <x:v>https://gall.dcinside.com/mgallery/board/view/?id=tgijjdd&amp;no=52885&amp;exception_mode=recommend&amp;page=1</x:v>
      </x:c>
      <x:c r="O158" s="116" t="str">
        <x:v>https://m.blog.naver.com/sntu2010/222212434232</x:v>
      </x:c>
      <x:c r="P158" s="112" t="str">
        <x:v>예</x:v>
      </x:c>
      <x:c r="Q158" s="113" t="str">
        <x:v>자동 분류·표본 검토 대상</x:v>
      </x:c>
    </x:row>
    <x:row r="159">
      <x:c r="A159" s="100" t="n">
        <x:v>158</x:v>
      </x:c>
      <x:c r="B159" s="101" t="n">
        <x:v>44215</x:v>
      </x:c>
      <x:c r="C159" s="102" t="n">
        <x:v>2021</x:v>
      </x:c>
      <x:c r="D159" s="103" t="str">
        <x:v>ID-222212421233</x:v>
      </x:c>
      <x:c r="E159" s="112" t="str">
        <x:v>[펌]크로키, 인체도형화 그리는 순서.TIP</x:v>
      </x:c>
      <x:c r="F159" s="112" t="str">
        <x:v>웹툰작법</x:v>
      </x:c>
      <x:c r="G159" s="112" t="str">
        <x:v>웹툰 참고</x:v>
      </x:c>
      <x:c r="H159" s="112" t="str">
        <x:v>작법·상업성</x:v>
      </x:c>
      <x:c r="I159" s="112" t="n">
        <x:v>2</x:v>
      </x:c>
      <x:c r="J159" s="112" t="str">
        <x:v>묘사, 작법</x:v>
      </x:c>
      <x:c r="K159" s="112" t="str">
        <x:v>재게시</x:v>
      </x:c>
      <x:c r="L159" s="112" t="str">
        <x:v>높음</x:v>
      </x:c>
      <x:c r="M159" s="112" t="str">
        <x:v>제목의 펌/퍼옴 표시</x:v>
      </x:c>
      <x:c r="N159" s="116" t="str">
        <x:v>https://gall.dcinside.com/mgallery/board/view/?id=drawing&amp;no=139839&amp;search_head=110&amp;page=1</x:v>
      </x:c>
      <x:c r="O159" s="116" t="str">
        <x:v>https://m.blog.naver.com/sntu2010/222212421233</x:v>
      </x:c>
      <x:c r="P159" s="112" t="str">
        <x:v>아니오</x:v>
      </x:c>
      <x:c r="Q159" s="113" t="str">
        <x:v>자동 분류·표본 검토 대상</x:v>
      </x:c>
    </x:row>
    <x:row r="160">
      <x:c r="A160" s="100" t="n">
        <x:v>159</x:v>
      </x:c>
      <x:c r="B160" s="101" t="n">
        <x:v>44205</x:v>
      </x:c>
      <x:c r="C160" s="102" t="n">
        <x:v>2021</x:v>
      </x:c>
      <x:c r="D160" s="103" t="str">
        <x:v>ID-222201681805</x:v>
      </x:c>
      <x:c r="E160" s="112" t="str">
        <x:v>[펌]강렬한 첫인상을 남기기 위해선 어떻게 해야 할까?</x:v>
      </x:c>
      <x:c r="F160" s="112" t="str">
        <x:v>웹소작법</x:v>
      </x:c>
      <x:c r="G160" s="112" t="str">
        <x:v>웹소설 직접</x:v>
      </x:c>
      <x:c r="H160" s="112" t="str">
        <x:v>작법·상업성</x:v>
      </x:c>
      <x:c r="I160" s="112" t="n">
        <x:v>6</x:v>
      </x:c>
      <x:c r="J160" s="112" t="str">
        <x:v>독자, 문장, 작법</x:v>
      </x:c>
      <x:c r="K160" s="112" t="str">
        <x:v>재게시</x:v>
      </x:c>
      <x:c r="L160" s="112" t="str">
        <x:v>높음</x:v>
      </x:c>
      <x:c r="M160" s="112" t="str">
        <x:v>제목의 펌/퍼옴 표시</x:v>
      </x:c>
      <x:c r="N160" s="116" t="str">
        <x:v>https://gall.dcinside.com/mgallery/board/view/?id=tgijjdd&amp;no=427974&amp;exception_mode=recommend&amp;page=1</x:v>
      </x:c>
      <x:c r="O160" s="116" t="str">
        <x:v>https://m.blog.naver.com/sntu2010/222201681805</x:v>
      </x:c>
      <x:c r="P160" s="112" t="str">
        <x:v>예</x:v>
      </x:c>
      <x:c r="Q160" s="113" t="str">
        <x:v>자동 분류·표본 검토 대상</x:v>
      </x:c>
    </x:row>
    <x:row r="161">
      <x:c r="A161" s="100" t="n">
        <x:v>160</x:v>
      </x:c>
      <x:c r="B161" s="101" t="n">
        <x:v>44203</x:v>
      </x:c>
      <x:c r="C161" s="102" t="n">
        <x:v>2021</x:v>
      </x:c>
      <x:c r="D161" s="103" t="str">
        <x:v>ID-222199826701</x:v>
      </x:c>
      <x:c r="E161" s="112" t="str">
        <x:v>[펌]아이디어가 떠오르지 않을 때 해볼만한 13가지 방법</x:v>
      </x:c>
      <x:c r="F161" s="112" t="str">
        <x:v>웹소작법</x:v>
      </x:c>
      <x:c r="G161" s="112" t="str">
        <x:v>웹소설 직접</x:v>
      </x:c>
      <x:c r="H161" s="112" t="str">
        <x:v>작법·상업성</x:v>
      </x:c>
      <x:c r="I161" s="112" t="n">
        <x:v>7</x:v>
      </x:c>
      <x:c r="J161" s="112" t="str">
        <x:v>소재, 제목, 작법</x:v>
      </x:c>
      <x:c r="K161" s="112" t="str">
        <x:v>재게시</x:v>
      </x:c>
      <x:c r="L161" s="112" t="str">
        <x:v>높음</x:v>
      </x:c>
      <x:c r="M161" s="112" t="str">
        <x:v>제목의 펌/퍼옴 표시</x:v>
      </x:c>
      <x:c r="N161" s="116" t="str">
        <x:v>https://gall.dcinside.com/mgallery/board/view/?id=tgijjdd&amp;no=427119&amp;exception_mode=recommend&amp;page=1</x:v>
      </x:c>
      <x:c r="O161" s="116" t="str">
        <x:v>https://m.blog.naver.com/sntu2010/222199826701</x:v>
      </x:c>
      <x:c r="P161" s="112" t="str">
        <x:v>예</x:v>
      </x:c>
      <x:c r="Q161" s="113" t="str">
        <x:v>자동 분류·표본 검토 대상</x:v>
      </x:c>
    </x:row>
    <x:row r="162">
      <x:c r="A162" s="100" t="n">
        <x:v>161</x:v>
      </x:c>
      <x:c r="B162" s="101" t="n">
        <x:v>44202</x:v>
      </x:c>
      <x:c r="C162" s="102" t="n">
        <x:v>2021</x:v>
      </x:c>
      <x:c r="D162" s="103" t="str">
        <x:v>ID-222198437688</x:v>
      </x:c>
      <x:c r="E162" s="112" t="str">
        <x:v>[펌]이야기를 뻔하게 만들지 않는 법</x:v>
      </x:c>
      <x:c r="F162" s="112" t="str">
        <x:v>웹소작법</x:v>
      </x:c>
      <x:c r="G162" s="112" t="str">
        <x:v>웹소설 직접</x:v>
      </x:c>
      <x:c r="H162" s="112" t="str">
        <x:v>캐릭터·전개</x:v>
      </x:c>
      <x:c r="I162" s="112" t="n">
        <x:v>8</x:v>
      </x:c>
      <x:c r="J162" s="112" t="str">
        <x:v>인물, 조연, 플롯</x:v>
      </x:c>
      <x:c r="K162" s="112" t="str">
        <x:v>재게시</x:v>
      </x:c>
      <x:c r="L162" s="112" t="str">
        <x:v>높음</x:v>
      </x:c>
      <x:c r="M162" s="112" t="str">
        <x:v>제목의 펌/퍼옴 표시</x:v>
      </x:c>
      <x:c r="N162" s="116" t="str">
        <x:v>https://gall.dcinside.com/mgallery/board/view/?id=tgijjdd&amp;no=426873&amp;page=1</x:v>
      </x:c>
      <x:c r="O162" s="116" t="str">
        <x:v>https://m.blog.naver.com/sntu2010/222198437688</x:v>
      </x:c>
      <x:c r="P162" s="112" t="str">
        <x:v>예</x:v>
      </x:c>
      <x:c r="Q162" s="113" t="str">
        <x:v>자동 분류·표본 검토 대상</x:v>
      </x:c>
    </x:row>
    <x:row r="163">
      <x:c r="A163" s="100" t="n">
        <x:v>162</x:v>
      </x:c>
      <x:c r="B163" s="101" t="n">
        <x:v>44202</x:v>
      </x:c>
      <x:c r="C163" s="102" t="n">
        <x:v>2021</x:v>
      </x:c>
      <x:c r="D163" s="103" t="str">
        <x:v>ID-222198181239</x:v>
      </x:c>
      <x:c r="E163" s="112" t="str">
        <x:v>[펌]목각인형 인체 도형화 그리는 법</x:v>
      </x:c>
      <x:c r="F163" s="112" t="str">
        <x:v>웹툰작법</x:v>
      </x:c>
      <x:c r="G163" s="112" t="str">
        <x:v>웹툰 참고</x:v>
      </x:c>
      <x:c r="H163" s="112" t="str">
        <x:v>작법·상업성</x:v>
      </x:c>
      <x:c r="I163" s="112" t="n">
        <x:v>1</x:v>
      </x:c>
      <x:c r="J163" s="112" t="str">
        <x:v>작법</x:v>
      </x:c>
      <x:c r="K163" s="112" t="str">
        <x:v>재게시</x:v>
      </x:c>
      <x:c r="L163" s="112" t="str">
        <x:v>높음</x:v>
      </x:c>
      <x:c r="M163" s="112" t="str">
        <x:v>제목의 펌/퍼옴 표시</x:v>
      </x:c>
      <x:c r="N163" s="116" t="str">
        <x:v>https://gall.dcinside.com/mgallery/board/view/?id=drawing&amp;no=135463&amp;exception_mode=recommend&amp;page=1</x:v>
      </x:c>
      <x:c r="O163" s="116" t="str">
        <x:v>https://m.blog.naver.com/sntu2010/222198181239</x:v>
      </x:c>
      <x:c r="P163" s="112" t="str">
        <x:v>아니오</x:v>
      </x:c>
      <x:c r="Q163" s="113" t="str">
        <x:v>자동 분류·표본 검토 대상</x:v>
      </x:c>
    </x:row>
    <x:row r="164">
      <x:c r="A164" s="100" t="n">
        <x:v>163</x:v>
      </x:c>
      <x:c r="B164" s="101" t="n">
        <x:v>44202</x:v>
      </x:c>
      <x:c r="C164" s="102" t="n">
        <x:v>2021</x:v>
      </x:c>
      <x:c r="D164" s="103" t="str">
        <x:v>ID-222198174401</x:v>
      </x:c>
      <x:c r="E164" s="112" t="str">
        <x:v>[펌]얼굴을 그리는 두 가지 방법(계란형 얼굴+십자선 / A.루미스식 도형화)</x:v>
      </x:c>
      <x:c r="F164" s="112" t="str">
        <x:v>웹툰작법</x:v>
      </x:c>
      <x:c r="G164" s="112" t="str">
        <x:v>웹툰 참고</x:v>
      </x:c>
      <x:c r="H164" s="112" t="str">
        <x:v>캐릭터·전개</x:v>
      </x:c>
      <x:c r="I164" s="112" t="n">
        <x:v>2</x:v>
      </x:c>
      <x:c r="J164" s="112" t="str">
        <x:v>인물</x:v>
      </x:c>
      <x:c r="K164" s="112" t="str">
        <x:v>재게시</x:v>
      </x:c>
      <x:c r="L164" s="112" t="str">
        <x:v>높음</x:v>
      </x:c>
      <x:c r="M164" s="112" t="str">
        <x:v>제목의 펌/퍼옴 표시</x:v>
      </x:c>
      <x:c r="N164" s="116" t="str">
        <x:v>https://gall.dcinside.com/mgallery/board/view/?id=drawing&amp;no=135202&amp;search_head=110&amp;page=1</x:v>
      </x:c>
      <x:c r="O164" s="116" t="str">
        <x:v>https://m.blog.naver.com/sntu2010/222198174401</x:v>
      </x:c>
      <x:c r="P164" s="112" t="str">
        <x:v>아니오</x:v>
      </x:c>
      <x:c r="Q164" s="113" t="str">
        <x:v>자동 분류·표본 검토 대상</x:v>
      </x:c>
    </x:row>
    <x:row r="165">
      <x:c r="A165" s="100" t="n">
        <x:v>164</x:v>
      </x:c>
      <x:c r="B165" s="101" t="n">
        <x:v>44202</x:v>
      </x:c>
      <x:c r="C165" s="102" t="n">
        <x:v>2021</x:v>
      </x:c>
      <x:c r="D165" s="103" t="str">
        <x:v>ID-222198166083</x:v>
      </x:c>
      <x:c r="E165" s="112" t="str">
        <x:v>[펌]인기있는 플롯의 4요소 정리</x:v>
      </x:c>
      <x:c r="F165" s="112" t="str">
        <x:v>웹소작법</x:v>
      </x:c>
      <x:c r="G165" s="112" t="str">
        <x:v>웹소설 직접</x:v>
      </x:c>
      <x:c r="H165" s="112" t="str">
        <x:v>캐릭터·전개</x:v>
      </x:c>
      <x:c r="I165" s="112" t="n">
        <x:v>28</x:v>
      </x:c>
      <x:c r="J165" s="112" t="str">
        <x:v>플롯, 주인공, 인물, 악역</x:v>
      </x:c>
      <x:c r="K165" s="112" t="str">
        <x:v>재게시</x:v>
      </x:c>
      <x:c r="L165" s="112" t="str">
        <x:v>높음</x:v>
      </x:c>
      <x:c r="M165" s="112" t="str">
        <x:v>제목의 펌/퍼옴 표시</x:v>
      </x:c>
      <x:c r="N165" s="116" t="str">
        <x:v>https://gall.dcinside.com/mgallery/board/view/?id=tgijjdd&amp;no=426736&amp;exception_mode=recommend&amp;page=1</x:v>
      </x:c>
      <x:c r="O165" s="116" t="str">
        <x:v>https://m.blog.naver.com/sntu2010/222198166083</x:v>
      </x:c>
      <x:c r="P165" s="112" t="str">
        <x:v>예</x:v>
      </x:c>
      <x:c r="Q165" s="113" t="str">
        <x:v>자동 분류·표본 검토 대상</x:v>
      </x:c>
    </x:row>
    <x:row r="166">
      <x:c r="A166" s="100" t="n">
        <x:v>165</x:v>
      </x:c>
      <x:c r="B166" s="101" t="n">
        <x:v>44198</x:v>
      </x:c>
      <x:c r="C166" s="102" t="n">
        <x:v>2021</x:v>
      </x:c>
      <x:c r="D166" s="103" t="str">
        <x:v>ID-222193949758</x:v>
      </x:c>
      <x:c r="E166" s="112" t="str">
        <x:v>[펌]스크리브너 집필 속도 10% 올려주는 나만의 꿀팁</x:v>
      </x:c>
      <x:c r="F166" s="112" t="str">
        <x:v>웹소작법</x:v>
      </x:c>
      <x:c r="G166" s="112" t="str">
        <x:v>웹소설 직접</x:v>
      </x:c>
      <x:c r="H166" s="112" t="str">
        <x:v>작법·상업성</x:v>
      </x:c>
      <x:c r="I166" s="112" t="n">
        <x:v>1</x:v>
      </x:c>
      <x:c r="J166" s="112" t="str">
        <x:v>작법</x:v>
      </x:c>
      <x:c r="K166" s="112" t="str">
        <x:v>재게시</x:v>
      </x:c>
      <x:c r="L166" s="112" t="str">
        <x:v>높음</x:v>
      </x:c>
      <x:c r="M166" s="112" t="str">
        <x:v>제목의 펌/퍼옴 표시</x:v>
      </x:c>
      <x:c r="N166" s="116" t="str">
        <x:v>https://gall.dcinside.com/mgallery/board/view/?id=tgijjdd&amp;no=425126&amp;exception_mode=recommend&amp;page=1</x:v>
      </x:c>
      <x:c r="O166" s="116" t="str">
        <x:v>https://m.blog.naver.com/sntu2010/222193949758</x:v>
      </x:c>
      <x:c r="P166" s="112" t="str">
        <x:v>아니오</x:v>
      </x:c>
      <x:c r="Q166" s="113" t="str">
        <x:v>자동 분류·표본 검토 대상</x:v>
      </x:c>
    </x:row>
    <x:row r="167">
      <x:c r="A167" s="100" t="n">
        <x:v>166</x:v>
      </x:c>
      <x:c r="B167" s="101" t="n">
        <x:v>44198</x:v>
      </x:c>
      <x:c r="C167" s="102" t="n">
        <x:v>2021</x:v>
      </x:c>
      <x:c r="D167" s="103" t="str">
        <x:v>ID-222193949191</x:v>
      </x:c>
      <x:c r="E167" s="112" t="str">
        <x:v>[펌]캐릭터 이름짓는 법 미세먼지 팁.txt</x:v>
      </x:c>
      <x:c r="F167" s="112" t="str">
        <x:v>웹소작법</x:v>
      </x:c>
      <x:c r="G167" s="112" t="str">
        <x:v>웹소설 직접</x:v>
      </x:c>
      <x:c r="H167" s="112" t="str">
        <x:v>캐릭터·전개</x:v>
      </x:c>
      <x:c r="I167" s="112" t="n">
        <x:v>22</x:v>
      </x:c>
      <x:c r="J167" s="112" t="str">
        <x:v>캐릭터, 인물</x:v>
      </x:c>
      <x:c r="K167" s="112" t="str">
        <x:v>재게시</x:v>
      </x:c>
      <x:c r="L167" s="112" t="str">
        <x:v>높음</x:v>
      </x:c>
      <x:c r="M167" s="112" t="str">
        <x:v>제목의 펌/퍼옴 표시</x:v>
      </x:c>
      <x:c r="N167" s="116" t="str">
        <x:v>https://gall.dcinside.com/mgallery/board/view/?id=tgijjdd&amp;no=423726&amp;search_head=30&amp;page=1</x:v>
      </x:c>
      <x:c r="O167" s="116" t="str">
        <x:v>https://m.blog.naver.com/sntu2010/222193949191</x:v>
      </x:c>
      <x:c r="P167" s="112" t="str">
        <x:v>예</x:v>
      </x:c>
      <x:c r="Q167" s="113" t="str">
        <x:v>자동 분류·표본 검토 대상</x:v>
      </x:c>
    </x:row>
    <x:row r="168">
      <x:c r="A168" s="100" t="n">
        <x:v>167</x:v>
      </x:c>
      <x:c r="B168" s="101" t="n">
        <x:v>44196</x:v>
      </x:c>
      <x:c r="C168" s="102" t="n">
        <x:v>2020</x:v>
      </x:c>
      <x:c r="D168" s="103" t="str">
        <x:v>ID-222191372521</x:v>
      </x:c>
      <x:c r="E168" s="112" t="str">
        <x:v>노트북 분실을 미연에 방지하자!</x:v>
      </x:c>
      <x:c r="F168" s="112" t="str">
        <x:v>웹소생각</x:v>
      </x:c>
      <x:c r="G168" s="112" t="str">
        <x:v>웹소설 직접</x:v>
      </x:c>
      <x:c r="H168" s="112" t="str">
        <x:v>캐릭터·전개</x:v>
      </x:c>
      <x:c r="I168" s="112" t="n">
        <x:v>1</x:v>
      </x:c>
      <x:c r="J168" s="112" t="str">
        <x:v>사건</x:v>
      </x:c>
      <x:c r="K168" s="112" t="str">
        <x:v>본인 작성/의견 추정</x:v>
      </x:c>
      <x:c r="L168" s="112" t="str">
        <x:v>낮음</x:v>
      </x:c>
      <x:c r="M168" s="112" t="str">
        <x:v>재게시 표시는 없으나 저자성 직접 증거 부족</x:v>
      </x:c>
      <x:c r="N168" s="116" t="str"/>
      <x:c r="O168" s="116" t="str">
        <x:v>https://m.blog.naver.com/sntu2010/222191372521</x:v>
      </x:c>
      <x:c r="P168" s="112" t="str">
        <x:v>아니오</x:v>
      </x:c>
      <x:c r="Q168" s="113" t="str">
        <x:v>수동 검토 필요</x:v>
      </x:c>
    </x:row>
    <x:row r="169">
      <x:c r="A169" s="100" t="n">
        <x:v>168</x:v>
      </x:c>
      <x:c r="B169" s="101" t="n">
        <x:v>44196</x:v>
      </x:c>
      <x:c r="C169" s="102" t="n">
        <x:v>2020</x:v>
      </x:c>
      <x:c r="D169" s="103" t="str">
        <x:v>ID-222191359890</x:v>
      </x:c>
      <x:c r="E169" s="112" t="str">
        <x:v>[펌]한컴오피스 한글 2018 개꿀팁. 매크로 기능</x:v>
      </x:c>
      <x:c r="F169" s="112" t="str">
        <x:v>웹소작법</x:v>
      </x:c>
      <x:c r="G169" s="112" t="str">
        <x:v>웹소설 직접</x:v>
      </x:c>
      <x:c r="H169" s="112" t="str">
        <x:v>작법·상업성</x:v>
      </x:c>
      <x:c r="I169" s="112" t="n">
        <x:v>6</x:v>
      </x:c>
      <x:c r="J169" s="112" t="str">
        <x:v>설정, 작법</x:v>
      </x:c>
      <x:c r="K169" s="112" t="str">
        <x:v>재게시</x:v>
      </x:c>
      <x:c r="L169" s="112" t="str">
        <x:v>높음</x:v>
      </x:c>
      <x:c r="M169" s="112" t="str">
        <x:v>제목의 펌/퍼옴 표시</x:v>
      </x:c>
      <x:c r="N169" s="116" t="str">
        <x:v>https://gall.dcinside.com/mgallery/board/view/?id=tgijjdd&amp;no=56302</x:v>
      </x:c>
      <x:c r="O169" s="116" t="str">
        <x:v>https://m.blog.naver.com/sntu2010/222191359890</x:v>
      </x:c>
      <x:c r="P169" s="112" t="str">
        <x:v>예</x:v>
      </x:c>
      <x:c r="Q169" s="113" t="str">
        <x:v>자동 분류·표본 검토 대상</x:v>
      </x:c>
    </x:row>
    <x:row r="170">
      <x:c r="A170" s="100" t="n">
        <x:v>169</x:v>
      </x:c>
      <x:c r="B170" s="101" t="n">
        <x:v>44196</x:v>
      </x:c>
      <x:c r="C170" s="102" t="n">
        <x:v>2020</x:v>
      </x:c>
      <x:c r="D170" s="103" t="str">
        <x:v>ID-222191311665</x:v>
      </x:c>
      <x:c r="E170" s="112" t="str">
        <x:v>웹소설 원고를 반드시 백업 해야하는 이유</x:v>
      </x:c>
      <x:c r="F170" s="112" t="str">
        <x:v>웹소생각</x:v>
      </x:c>
      <x:c r="G170" s="112" t="str">
        <x:v>웹소설 직접</x:v>
      </x:c>
      <x:c r="H170" s="112" t="str">
        <x:v>초반부/연독률</x:v>
      </x:c>
      <x:c r="I170" s="112" t="n">
        <x:v>2</x:v>
      </x:c>
      <x:c r="J170" s="112" t="str">
        <x:v>20화</x:v>
      </x:c>
      <x:c r="K170" s="112" t="str">
        <x:v>본인 작성/의견 추정</x:v>
      </x:c>
      <x:c r="L170" s="112" t="str">
        <x:v>낮음</x:v>
      </x:c>
      <x:c r="M170" s="112" t="str">
        <x:v>재게시 표시는 없으나 저자성 직접 증거 부족</x:v>
      </x:c>
      <x:c r="N170" s="116" t="str"/>
      <x:c r="O170" s="116" t="str">
        <x:v>https://m.blog.naver.com/sntu2010/222191311665</x:v>
      </x:c>
      <x:c r="P170" s="112" t="str">
        <x:v>아니오</x:v>
      </x:c>
      <x:c r="Q170" s="113" t="str">
        <x:v>수동 검토 필요</x:v>
      </x:c>
    </x:row>
    <x:row r="171">
      <x:c r="A171" s="100" t="n">
        <x:v>170</x:v>
      </x:c>
      <x:c r="B171" s="101" t="n">
        <x:v>44196</x:v>
      </x:c>
      <x:c r="C171" s="102" t="n">
        <x:v>2020</x:v>
      </x:c>
      <x:c r="D171" s="103" t="str">
        <x:v>ID-222191305373</x:v>
      </x:c>
      <x:c r="E171" s="112" t="str">
        <x:v>[펌]파일 백업 관련 개꿀팁. (클라우드, 버전관리)</x:v>
      </x:c>
      <x:c r="F171" s="112" t="str">
        <x:v>웹소작법</x:v>
      </x:c>
      <x:c r="G171" s="112" t="str">
        <x:v>웹소설 직접</x:v>
      </x:c>
      <x:c r="H171" s="112" t="str">
        <x:v>작법·상업성</x:v>
      </x:c>
      <x:c r="I171" s="112" t="n">
        <x:v>1</x:v>
      </x:c>
      <x:c r="J171" s="112" t="str">
        <x:v>작법</x:v>
      </x:c>
      <x:c r="K171" s="112" t="str">
        <x:v>재게시</x:v>
      </x:c>
      <x:c r="L171" s="112" t="str">
        <x:v>높음</x:v>
      </x:c>
      <x:c r="M171" s="112" t="str">
        <x:v>제목의 펌/퍼옴 표시</x:v>
      </x:c>
      <x:c r="N171" s="116" t="str">
        <x:v>https://gall.dcinside.com/mgallery/board/view/?id=tgijjdd&amp;no=65826&amp;search_pos=-64635&amp;s_type=search_subject&amp;s_keyword=%EB%B0%B1%EC%97%85&amp;page=1</x:v>
      </x:c>
      <x:c r="O171" s="116" t="str">
        <x:v>https://m.blog.naver.com/sntu2010/222191305373</x:v>
      </x:c>
      <x:c r="P171" s="112" t="str">
        <x:v>아니오</x:v>
      </x:c>
      <x:c r="Q171" s="113" t="str">
        <x:v>자동 분류·표본 검토 대상</x:v>
      </x:c>
    </x:row>
    <x:row r="172">
      <x:c r="A172" s="100" t="n">
        <x:v>171</x:v>
      </x:c>
      <x:c r="B172" s="101" t="n">
        <x:v>44193</x:v>
      </x:c>
      <x:c r="C172" s="102" t="n">
        <x:v>2020</x:v>
      </x:c>
      <x:c r="D172" s="103" t="str">
        <x:v>ID-222187804947</x:v>
      </x:c>
      <x:c r="E172" s="112" t="str">
        <x:v>[펌]면크로키 입문법</x:v>
      </x:c>
      <x:c r="F172" s="112" t="str">
        <x:v>웹툰작법</x:v>
      </x:c>
      <x:c r="G172" s="112" t="str">
        <x:v>웹툰 참고</x:v>
      </x:c>
      <x:c r="H172" s="112" t="str">
        <x:v>작법·상업성</x:v>
      </x:c>
      <x:c r="I172" s="112" t="n">
        <x:v>1</x:v>
      </x:c>
      <x:c r="J172" s="112" t="str">
        <x:v>작법</x:v>
      </x:c>
      <x:c r="K172" s="112" t="str">
        <x:v>재게시</x:v>
      </x:c>
      <x:c r="L172" s="112" t="str">
        <x:v>높음</x:v>
      </x:c>
      <x:c r="M172" s="112" t="str">
        <x:v>제목의 펌/퍼옴 표시</x:v>
      </x:c>
      <x:c r="N172" s="116" t="str">
        <x:v>https://gall.dcinside.com/mgallery/board/view/?id=drawing&amp;no=103902&amp;_rk=CFQ&amp;page=1</x:v>
      </x:c>
      <x:c r="O172" s="116" t="str">
        <x:v>https://m.blog.naver.com/sntu2010/222187804947</x:v>
      </x:c>
      <x:c r="P172" s="112" t="str">
        <x:v>아니오</x:v>
      </x:c>
      <x:c r="Q172" s="113" t="str">
        <x:v>자동 분류·표본 검토 대상</x:v>
      </x:c>
    </x:row>
    <x:row r="173">
      <x:c r="A173" s="100" t="n">
        <x:v>172</x:v>
      </x:c>
      <x:c r="B173" s="101" t="n">
        <x:v>44193</x:v>
      </x:c>
      <x:c r="C173" s="102" t="n">
        <x:v>2020</x:v>
      </x:c>
      <x:c r="D173" s="103" t="str">
        <x:v>ID-222187802528</x:v>
      </x:c>
      <x:c r="E173" s="112" t="str">
        <x:v>[펌]그림 : 초보분들이 잘모르는 모니터 세팅 팁</x:v>
      </x:c>
      <x:c r="F173" s="112" t="str">
        <x:v>웹툰작법</x:v>
      </x:c>
      <x:c r="G173" s="112" t="str">
        <x:v>웹툰 참고</x:v>
      </x:c>
      <x:c r="H173" s="112" t="str">
        <x:v>작법·상업성</x:v>
      </x:c>
      <x:c r="I173" s="112" t="n">
        <x:v>4</x:v>
      </x:c>
      <x:c r="J173" s="112" t="str">
        <x:v>설정, 작법</x:v>
      </x:c>
      <x:c r="K173" s="112" t="str">
        <x:v>재게시</x:v>
      </x:c>
      <x:c r="L173" s="112" t="str">
        <x:v>높음</x:v>
      </x:c>
      <x:c r="M173" s="112" t="str">
        <x:v>제목의 펌/퍼옴 표시</x:v>
      </x:c>
      <x:c r="N173" s="116" t="str">
        <x:v>https://gall.dcinside.com/mgallery/board/view/?id=drawing&amp;no=49668&amp;page=1</x:v>
      </x:c>
      <x:c r="O173" s="116" t="str">
        <x:v>https://m.blog.naver.com/sntu2010/222187802528</x:v>
      </x:c>
      <x:c r="P173" s="112" t="str">
        <x:v>아니오</x:v>
      </x:c>
      <x:c r="Q173" s="113" t="str">
        <x:v>자동 분류·표본 검토 대상</x:v>
      </x:c>
    </x:row>
    <x:row r="174">
      <x:c r="A174" s="100" t="n">
        <x:v>173</x:v>
      </x:c>
      <x:c r="B174" s="101" t="n">
        <x:v>44193</x:v>
      </x:c>
      <x:c r="C174" s="102" t="n">
        <x:v>2020</x:v>
      </x:c>
      <x:c r="D174" s="103" t="str">
        <x:v>ID-222187801672</x:v>
      </x:c>
      <x:c r="E174" s="112" t="str">
        <x:v>[펌]중국 일러 스타일과 일본 스타일의 차이에 대한 허접한 연구</x:v>
      </x:c>
      <x:c r="F174" s="112" t="str">
        <x:v>웹툰작법</x:v>
      </x:c>
      <x:c r="G174" s="112" t="str">
        <x:v>웹툰 참고</x:v>
      </x:c>
      <x:c r="H174" s="112" t="str">
        <x:v>작법·상업성</x:v>
      </x:c>
      <x:c r="I174" s="112" t="n">
        <x:v>1</x:v>
      </x:c>
      <x:c r="J174" s="112" t="str">
        <x:v>작법</x:v>
      </x:c>
      <x:c r="K174" s="112" t="str">
        <x:v>재게시</x:v>
      </x:c>
      <x:c r="L174" s="112" t="str">
        <x:v>높음</x:v>
      </x:c>
      <x:c r="M174" s="112" t="str">
        <x:v>제목의 펌/퍼옴 표시</x:v>
      </x:c>
      <x:c r="N174" s="116" t="str">
        <x:v>https://gall.dcinside.com/mgallery/board/view/?id=drawing&amp;no=50371</x:v>
      </x:c>
      <x:c r="O174" s="116" t="str">
        <x:v>https://m.blog.naver.com/sntu2010/222187801672</x:v>
      </x:c>
      <x:c r="P174" s="112" t="str">
        <x:v>아니오</x:v>
      </x:c>
      <x:c r="Q174" s="113" t="str">
        <x:v>자동 분류·표본 검토 대상</x:v>
      </x:c>
    </x:row>
    <x:row r="175">
      <x:c r="A175" s="100" t="n">
        <x:v>174</x:v>
      </x:c>
      <x:c r="B175" s="101" t="n">
        <x:v>44193</x:v>
      </x:c>
      <x:c r="C175" s="102" t="n">
        <x:v>2020</x:v>
      </x:c>
      <x:c r="D175" s="103" t="str">
        <x:v>ID-222187800945</x:v>
      </x:c>
      <x:c r="E175" s="112" t="str">
        <x:v>[펌]그림이 완성으로 보이지 않을 때, 밋밋한 그림 대처법</x:v>
      </x:c>
      <x:c r="F175" s="112" t="str">
        <x:v>웹툰작법</x:v>
      </x:c>
      <x:c r="G175" s="112" t="str">
        <x:v>웹툰 참고</x:v>
      </x:c>
      <x:c r="H175" s="112" t="str">
        <x:v>작법·상업성</x:v>
      </x:c>
      <x:c r="I175" s="112" t="n">
        <x:v>2</x:v>
      </x:c>
      <x:c r="J175" s="112" t="str">
        <x:v>재미, 작법</x:v>
      </x:c>
      <x:c r="K175" s="112" t="str">
        <x:v>재게시</x:v>
      </x:c>
      <x:c r="L175" s="112" t="str">
        <x:v>높음</x:v>
      </x:c>
      <x:c r="M175" s="112" t="str">
        <x:v>제목의 펌/퍼옴 표시</x:v>
      </x:c>
      <x:c r="N175" s="116" t="str">
        <x:v>https://gall.dcinside.com/mgallery/board/view/?id=drawing&amp;no=50440&amp;page=1</x:v>
      </x:c>
      <x:c r="O175" s="116" t="str">
        <x:v>https://m.blog.naver.com/sntu2010/222187800945</x:v>
      </x:c>
      <x:c r="P175" s="112" t="str">
        <x:v>아니오</x:v>
      </x:c>
      <x:c r="Q175" s="113" t="str">
        <x:v>자동 분류·표본 검토 대상</x:v>
      </x:c>
    </x:row>
    <x:row r="176">
      <x:c r="A176" s="100" t="n">
        <x:v>175</x:v>
      </x:c>
      <x:c r="B176" s="101" t="n">
        <x:v>44193</x:v>
      </x:c>
      <x:c r="C176" s="102" t="n">
        <x:v>2020</x:v>
      </x:c>
      <x:c r="D176" s="103" t="str">
        <x:v>ID-222187799396</x:v>
      </x:c>
      <x:c r="E176" s="112" t="str">
        <x:v>[펌]간단한 그림 가이드 02 - 디자인을 해보자</x:v>
      </x:c>
      <x:c r="F176" s="112" t="str">
        <x:v>웹툰작법</x:v>
      </x:c>
      <x:c r="G176" s="112" t="str">
        <x:v>웹툰 참고</x:v>
      </x:c>
      <x:c r="H176" s="112" t="str">
        <x:v>캐릭터·전개</x:v>
      </x:c>
      <x:c r="I176" s="112" t="n">
        <x:v>5</x:v>
      </x:c>
      <x:c r="J176" s="112" t="str">
        <x:v>캐릭터</x:v>
      </x:c>
      <x:c r="K176" s="112" t="str">
        <x:v>재게시</x:v>
      </x:c>
      <x:c r="L176" s="112" t="str">
        <x:v>높음</x:v>
      </x:c>
      <x:c r="M176" s="112" t="str">
        <x:v>제목의 펌/퍼옴 표시</x:v>
      </x:c>
      <x:c r="N176" s="116" t="str">
        <x:v>https://gall.dcinside.com/mgallery/board/view/?id=drawing&amp;no=24375&amp;search_head=110&amp;page=3</x:v>
      </x:c>
      <x:c r="O176" s="116" t="str">
        <x:v>https://m.blog.naver.com/sntu2010/222187799396</x:v>
      </x:c>
      <x:c r="P176" s="112" t="str">
        <x:v>아니오</x:v>
      </x:c>
      <x:c r="Q176" s="113" t="str">
        <x:v>자동 분류·표본 검토 대상</x:v>
      </x:c>
    </x:row>
    <x:row r="177">
      <x:c r="A177" s="100" t="n">
        <x:v>176</x:v>
      </x:c>
      <x:c r="B177" s="101" t="n">
        <x:v>44193</x:v>
      </x:c>
      <x:c r="C177" s="102" t="n">
        <x:v>2020</x:v>
      </x:c>
      <x:c r="D177" s="103" t="str">
        <x:v>ID-222187795513</x:v>
      </x:c>
      <x:c r="E177" s="112" t="str">
        <x:v>[펌]그림 : 어제 들은 초보자들을 위한 조언</x:v>
      </x:c>
      <x:c r="F177" s="112" t="str">
        <x:v>웹툰작법</x:v>
      </x:c>
      <x:c r="G177" s="112" t="str">
        <x:v>웹툰 참고</x:v>
      </x:c>
      <x:c r="H177" s="112" t="str">
        <x:v>작법·상업성</x:v>
      </x:c>
      <x:c r="I177" s="112" t="n">
        <x:v>1</x:v>
      </x:c>
      <x:c r="J177" s="112" t="str">
        <x:v>작법</x:v>
      </x:c>
      <x:c r="K177" s="112" t="str">
        <x:v>재게시</x:v>
      </x:c>
      <x:c r="L177" s="112" t="str">
        <x:v>높음</x:v>
      </x:c>
      <x:c r="M177" s="112" t="str">
        <x:v>제목의 펌/퍼옴 표시</x:v>
      </x:c>
      <x:c r="N177" s="116" t="str">
        <x:v>https://gall.dcinside.com/mgallery/board/view/?id=drawing&amp;no=36853&amp;_rk=JRL&amp;exception_mode=recommend&amp;search_head=110&amp;page=2</x:v>
      </x:c>
      <x:c r="O177" s="116" t="str">
        <x:v>https://m.blog.naver.com/sntu2010/222187795513</x:v>
      </x:c>
      <x:c r="P177" s="112" t="str">
        <x:v>아니오</x:v>
      </x:c>
      <x:c r="Q177" s="113" t="str">
        <x:v>자동 분류·표본 검토 대상</x:v>
      </x:c>
    </x:row>
    <x:row r="178">
      <x:c r="A178" s="100" t="n">
        <x:v>177</x:v>
      </x:c>
      <x:c r="B178" s="101" t="n">
        <x:v>44193</x:v>
      </x:c>
      <x:c r="C178" s="102" t="n">
        <x:v>2020</x:v>
      </x:c>
      <x:c r="D178" s="103" t="str">
        <x:v>ID-222187794385</x:v>
      </x:c>
      <x:c r="E178" s="112" t="str">
        <x:v>[펌]그림공부방법 념글에있는거 보고 추천드리는 독학방법 (추가)</x:v>
      </x:c>
      <x:c r="F178" s="112" t="str">
        <x:v>웹툰작법</x:v>
      </x:c>
      <x:c r="G178" s="112" t="str">
        <x:v>웹툰 참고</x:v>
      </x:c>
      <x:c r="H178" s="112" t="str">
        <x:v>작법·상업성</x:v>
      </x:c>
      <x:c r="I178" s="112" t="n">
        <x:v>1</x:v>
      </x:c>
      <x:c r="J178" s="112" t="str">
        <x:v>작법</x:v>
      </x:c>
      <x:c r="K178" s="112" t="str">
        <x:v>재게시</x:v>
      </x:c>
      <x:c r="L178" s="112" t="str">
        <x:v>높음</x:v>
      </x:c>
      <x:c r="M178" s="112" t="str">
        <x:v>제목의 펌/퍼옴 표시</x:v>
      </x:c>
      <x:c r="N178" s="116" t="str">
        <x:v>https://gall.dcinside.com/mgallery/board/view/?id=drawing&amp;no=52466&amp;_rk=zx3&amp;exception_mode=recommend&amp;search_head=110&amp;page=1</x:v>
      </x:c>
      <x:c r="O178" s="116" t="str">
        <x:v>https://m.blog.naver.com/sntu2010/222187794385</x:v>
      </x:c>
      <x:c r="P178" s="112" t="str">
        <x:v>아니오</x:v>
      </x:c>
      <x:c r="Q178" s="113" t="str">
        <x:v>자동 분류·표본 검토 대상</x:v>
      </x:c>
    </x:row>
    <x:row r="179">
      <x:c r="A179" s="100" t="n">
        <x:v>178</x:v>
      </x:c>
      <x:c r="B179" s="101" t="n">
        <x:v>44193</x:v>
      </x:c>
      <x:c r="C179" s="102" t="n">
        <x:v>2020</x:v>
      </x:c>
      <x:c r="D179" s="103" t="str">
        <x:v>ID-222187792902</x:v>
      </x:c>
      <x:c r="E179" s="112" t="str">
        <x:v>[펌]초보자를 위한 (주관적인) 그림 배우는 단계별 커리큘럼</x:v>
      </x:c>
      <x:c r="F179" s="112" t="str">
        <x:v>웹툰작법</x:v>
      </x:c>
      <x:c r="G179" s="112" t="str">
        <x:v>웹툰 참고</x:v>
      </x:c>
      <x:c r="H179" s="112" t="str">
        <x:v>작법·상업성</x:v>
      </x:c>
      <x:c r="I179" s="112" t="n">
        <x:v>1</x:v>
      </x:c>
      <x:c r="J179" s="112" t="str">
        <x:v>작법</x:v>
      </x:c>
      <x:c r="K179" s="112" t="str">
        <x:v>재게시</x:v>
      </x:c>
      <x:c r="L179" s="112" t="str">
        <x:v>높음</x:v>
      </x:c>
      <x:c r="M179" s="112" t="str">
        <x:v>제목의 펌/퍼옴 표시</x:v>
      </x:c>
      <x:c r="N179" s="116" t="str">
        <x:v>https://gall.dcinside.com/mgallery/board/view/?id=drawing&amp;no=61328&amp;_rk=ArW&amp;exception_mode=recommend&amp;search_head=110&amp;page=1</x:v>
      </x:c>
      <x:c r="O179" s="116" t="str">
        <x:v>https://m.blog.naver.com/sntu2010/222187792902</x:v>
      </x:c>
      <x:c r="P179" s="112" t="str">
        <x:v>아니오</x:v>
      </x:c>
      <x:c r="Q179" s="113" t="str">
        <x:v>자동 분류·표본 검토 대상</x:v>
      </x:c>
    </x:row>
    <x:row r="180">
      <x:c r="A180" s="100" t="n">
        <x:v>179</x:v>
      </x:c>
      <x:c r="B180" s="101" t="n">
        <x:v>44193</x:v>
      </x:c>
      <x:c r="C180" s="102" t="n">
        <x:v>2020</x:v>
      </x:c>
      <x:c r="D180" s="103" t="str">
        <x:v>ID-222187764292</x:v>
      </x:c>
      <x:c r="E180" s="112" t="str">
        <x:v>[펌]암기 크로키 하는 개념을 소개해봄</x:v>
      </x:c>
      <x:c r="F180" s="112" t="str">
        <x:v>웹툰작법</x:v>
      </x:c>
      <x:c r="G180" s="112" t="str">
        <x:v>웹툰 참고</x:v>
      </x:c>
      <x:c r="H180" s="112" t="str">
        <x:v>작법·상업성</x:v>
      </x:c>
      <x:c r="I180" s="112" t="n">
        <x:v>1</x:v>
      </x:c>
      <x:c r="J180" s="112" t="str">
        <x:v>작법</x:v>
      </x:c>
      <x:c r="K180" s="112" t="str">
        <x:v>재게시</x:v>
      </x:c>
      <x:c r="L180" s="112" t="str">
        <x:v>높음</x:v>
      </x:c>
      <x:c r="M180" s="112" t="str">
        <x:v>제목의 펌/퍼옴 표시</x:v>
      </x:c>
      <x:c r="N180" s="116" t="str">
        <x:v>https://gall.dcinside.com/mgallery/board/view/?id=drawing&amp;no=131983&amp;search_head=110&amp;page=1</x:v>
      </x:c>
      <x:c r="O180" s="116" t="str">
        <x:v>https://m.blog.naver.com/sntu2010/222187764292</x:v>
      </x:c>
      <x:c r="P180" s="112" t="str">
        <x:v>아니오</x:v>
      </x:c>
      <x:c r="Q180" s="113" t="str">
        <x:v>자동 분류·표본 검토 대상</x:v>
      </x:c>
    </x:row>
    <x:row r="181">
      <x:c r="A181" s="100" t="n">
        <x:v>180</x:v>
      </x:c>
      <x:c r="B181" s="101" t="n">
        <x:v>44193</x:v>
      </x:c>
      <x:c r="C181" s="102" t="n">
        <x:v>2020</x:v>
      </x:c>
      <x:c r="D181" s="103" t="str">
        <x:v>ID-222187760367</x:v>
      </x:c>
      <x:c r="E181" s="112" t="str">
        <x:v>[펌]스토리 비기닝 미들 엔딩 팁.txt</x:v>
      </x:c>
      <x:c r="F181" s="112" t="str">
        <x:v>웹툰작법</x:v>
      </x:c>
      <x:c r="G181" s="112" t="str">
        <x:v>웹툰 참고</x:v>
      </x:c>
      <x:c r="H181" s="112" t="str">
        <x:v>작법·상업성</x:v>
      </x:c>
      <x:c r="I181" s="112" t="n">
        <x:v>5</x:v>
      </x:c>
      <x:c r="J181" s="112" t="str">
        <x:v>독자, 설정, 작법</x:v>
      </x:c>
      <x:c r="K181" s="112" t="str">
        <x:v>재게시</x:v>
      </x:c>
      <x:c r="L181" s="112" t="str">
        <x:v>높음</x:v>
      </x:c>
      <x:c r="M181" s="112" t="str">
        <x:v>제목의 펌/퍼옴 표시</x:v>
      </x:c>
      <x:c r="N181" s="116" t="str">
        <x:v>https://gall.dcinside.com/mgallery/board/view/?id=cartoonist&amp;no=64588</x:v>
      </x:c>
      <x:c r="O181" s="116" t="str">
        <x:v>https://m.blog.naver.com/sntu2010/222187760367</x:v>
      </x:c>
      <x:c r="P181" s="112" t="str">
        <x:v>아니오</x:v>
      </x:c>
      <x:c r="Q181" s="113" t="str">
        <x:v>자동 분류·표본 검토 대상</x:v>
      </x:c>
    </x:row>
    <x:row r="182">
      <x:c r="A182" s="100" t="n">
        <x:v>181</x:v>
      </x:c>
      <x:c r="B182" s="101" t="n">
        <x:v>44193</x:v>
      </x:c>
      <x:c r="C182" s="102" t="n">
        <x:v>2020</x:v>
      </x:c>
      <x:c r="D182" s="103" t="str">
        <x:v>ID-222187759517</x:v>
      </x:c>
      <x:c r="E182" s="112" t="str">
        <x:v>[펌]스토리 체크 리스트와 아이디어 발상법.txt</x:v>
      </x:c>
      <x:c r="F182" s="112" t="str">
        <x:v>웹툰작법</x:v>
      </x:c>
      <x:c r="G182" s="112" t="str">
        <x:v>웹툰 참고</x:v>
      </x:c>
      <x:c r="H182" s="112" t="str">
        <x:v>캐릭터·전개</x:v>
      </x:c>
      <x:c r="I182" s="112" t="n">
        <x:v>8</x:v>
      </x:c>
      <x:c r="J182" s="112" t="str">
        <x:v>캐릭터, 갈등, 대사, 전개, 주인공, 인물, 관계</x:v>
      </x:c>
      <x:c r="K182" s="112" t="str">
        <x:v>재게시</x:v>
      </x:c>
      <x:c r="L182" s="112" t="str">
        <x:v>높음</x:v>
      </x:c>
      <x:c r="M182" s="112" t="str">
        <x:v>제목의 펌/퍼옴 표시</x:v>
      </x:c>
      <x:c r="N182" s="116" t="str">
        <x:v>https://gall.dcinside.com/mgallery/board/view/?id=cartoonist&amp;no=64589</x:v>
      </x:c>
      <x:c r="O182" s="116" t="str">
        <x:v>https://m.blog.naver.com/sntu2010/222187759517</x:v>
      </x:c>
      <x:c r="P182" s="112" t="str">
        <x:v>아니오</x:v>
      </x:c>
      <x:c r="Q182" s="113" t="str">
        <x:v>자동 분류·표본 검토 대상</x:v>
      </x:c>
    </x:row>
    <x:row r="183">
      <x:c r="A183" s="100" t="n">
        <x:v>182</x:v>
      </x:c>
      <x:c r="B183" s="101" t="n">
        <x:v>44193</x:v>
      </x:c>
      <x:c r="C183" s="102" t="n">
        <x:v>2020</x:v>
      </x:c>
      <x:c r="D183" s="103" t="str">
        <x:v>ID-222187758105</x:v>
      </x:c>
      <x:c r="E183" s="112" t="str">
        <x:v>[펌]그림 그리기전에 해야될것 4가지</x:v>
      </x:c>
      <x:c r="F183" s="112" t="str">
        <x:v>웹툰작법</x:v>
      </x:c>
      <x:c r="G183" s="112" t="str">
        <x:v>웹툰 참고</x:v>
      </x:c>
      <x:c r="H183" s="112" t="str">
        <x:v>작법·상업성</x:v>
      </x:c>
      <x:c r="I183" s="112" t="n">
        <x:v>1</x:v>
      </x:c>
      <x:c r="J183" s="112" t="str">
        <x:v>작법</x:v>
      </x:c>
      <x:c r="K183" s="112" t="str">
        <x:v>재게시</x:v>
      </x:c>
      <x:c r="L183" s="112" t="str">
        <x:v>높음</x:v>
      </x:c>
      <x:c r="M183" s="112" t="str">
        <x:v>제목의 펌/퍼옴 표시</x:v>
      </x:c>
      <x:c r="N183" s="116" t="str">
        <x:v>https://gall.dcinside.com/mgallery/board/view/?id=drawing&amp;no=131968</x:v>
      </x:c>
      <x:c r="O183" s="116" t="str">
        <x:v>https://m.blog.naver.com/sntu2010/222187758105</x:v>
      </x:c>
      <x:c r="P183" s="112" t="str">
        <x:v>아니오</x:v>
      </x:c>
      <x:c r="Q183" s="113" t="str">
        <x:v>자동 분류·표본 검토 대상</x:v>
      </x:c>
    </x:row>
    <x:row r="184">
      <x:c r="A184" s="100" t="n">
        <x:v>183</x:v>
      </x:c>
      <x:c r="B184" s="101" t="n">
        <x:v>44189</x:v>
      </x:c>
      <x:c r="C184" s="102" t="n">
        <x:v>2020</x:v>
      </x:c>
      <x:c r="D184" s="103" t="str">
        <x:v>ID-222183933281</x:v>
      </x:c>
      <x:c r="E184" s="112" t="str">
        <x:v>[펌]투시이야기</x:v>
      </x:c>
      <x:c r="F184" s="112" t="str">
        <x:v>웹툰작법</x:v>
      </x:c>
      <x:c r="G184" s="112" t="str">
        <x:v>웹툰 참고</x:v>
      </x:c>
      <x:c r="H184" s="112" t="str">
        <x:v>캐릭터·전개</x:v>
      </x:c>
      <x:c r="I184" s="112" t="n">
        <x:v>1</x:v>
      </x:c>
      <x:c r="J184" s="112" t="str">
        <x:v>캐릭터</x:v>
      </x:c>
      <x:c r="K184" s="112" t="str">
        <x:v>재게시</x:v>
      </x:c>
      <x:c r="L184" s="112" t="str">
        <x:v>높음</x:v>
      </x:c>
      <x:c r="M184" s="112" t="str">
        <x:v>제목의 펌/퍼옴 표시</x:v>
      </x:c>
      <x:c r="N184" s="116" t="str">
        <x:v>https://gall.dcinside.com/mgallery/board/view/?id=drawing&amp;no=131244</x:v>
      </x:c>
      <x:c r="O184" s="116" t="str">
        <x:v>https://m.blog.naver.com/sntu2010/222183933281</x:v>
      </x:c>
      <x:c r="P184" s="112" t="str">
        <x:v>아니오</x:v>
      </x:c>
      <x:c r="Q184" s="113" t="str">
        <x:v>자동 분류·표본 검토 대상</x:v>
      </x:c>
    </x:row>
    <x:row r="185">
      <x:c r="A185" s="100" t="n">
        <x:v>184</x:v>
      </x:c>
      <x:c r="B185" s="101" t="n">
        <x:v>44189</x:v>
      </x:c>
      <x:c r="C185" s="102" t="n">
        <x:v>2020</x:v>
      </x:c>
      <x:c r="D185" s="103" t="str">
        <x:v>ID-222183931183</x:v>
      </x:c>
      <x:c r="E185" s="112" t="str">
        <x:v>[펌]독학하면서 그림 처음시작할때 도움된것들 정리해봄</x:v>
      </x:c>
      <x:c r="F185" s="112" t="str">
        <x:v>웹툰작법</x:v>
      </x:c>
      <x:c r="G185" s="112" t="str">
        <x:v>웹툰 참고</x:v>
      </x:c>
      <x:c r="H185" s="112" t="str">
        <x:v>캐릭터·전개</x:v>
      </x:c>
      <x:c r="I185" s="112" t="n">
        <x:v>1</x:v>
      </x:c>
      <x:c r="J185" s="112" t="str">
        <x:v>인물</x:v>
      </x:c>
      <x:c r="K185" s="112" t="str">
        <x:v>재게시</x:v>
      </x:c>
      <x:c r="L185" s="112" t="str">
        <x:v>높음</x:v>
      </x:c>
      <x:c r="M185" s="112" t="str">
        <x:v>제목의 펌/퍼옴 표시</x:v>
      </x:c>
      <x:c r="N185" s="116" t="str">
        <x:v>https://gall.dcinside.com/mgallery/board/view/?id=drawing&amp;no=130764</x:v>
      </x:c>
      <x:c r="O185" s="116" t="str">
        <x:v>https://m.blog.naver.com/sntu2010/222183931183</x:v>
      </x:c>
      <x:c r="P185" s="112" t="str">
        <x:v>아니오</x:v>
      </x:c>
      <x:c r="Q185" s="113" t="str">
        <x:v>자동 분류·표본 검토 대상</x:v>
      </x:c>
    </x:row>
    <x:row r="186">
      <x:c r="A186" s="100" t="n">
        <x:v>185</x:v>
      </x:c>
      <x:c r="B186" s="101" t="n">
        <x:v>44188</x:v>
      </x:c>
      <x:c r="C186" s="102" t="n">
        <x:v>2020</x:v>
      </x:c>
      <x:c r="D186" s="103" t="str">
        <x:v>ID-222183286354</x:v>
      </x:c>
      <x:c r="E186" s="112" t="str">
        <x:v>[펌]스크리브너 조그만 팁들</x:v>
      </x:c>
      <x:c r="F186" s="112" t="str">
        <x:v>웹소작법</x:v>
      </x:c>
      <x:c r="G186" s="112" t="str">
        <x:v>웹소설 직접</x:v>
      </x:c>
      <x:c r="H186" s="112" t="str">
        <x:v>플랫폼·투고·계약</x:v>
      </x:c>
      <x:c r="I186" s="112" t="n">
        <x:v>4</x:v>
      </x:c>
      <x:c r="J186" s="112" t="str">
        <x:v>조아라, 문피아</x:v>
      </x:c>
      <x:c r="K186" s="112" t="str">
        <x:v>재게시</x:v>
      </x:c>
      <x:c r="L186" s="112" t="str">
        <x:v>높음</x:v>
      </x:c>
      <x:c r="M186" s="112" t="str">
        <x:v>제목의 펌/퍼옴 표시</x:v>
      </x:c>
      <x:c r="N186" s="116" t="str">
        <x:v>https://gall.dcinside.com/mgallery/board/view/?id=tgijjdd&amp;no=421988&amp;exception_mode=recommend&amp;page=1</x:v>
      </x:c>
      <x:c r="O186" s="116" t="str">
        <x:v>https://m.blog.naver.com/sntu2010/222183286354</x:v>
      </x:c>
      <x:c r="P186" s="112" t="str">
        <x:v>아니오</x:v>
      </x:c>
      <x:c r="Q186" s="113" t="str">
        <x:v>자동 분류·표본 검토 대상</x:v>
      </x:c>
    </x:row>
    <x:row r="187">
      <x:c r="A187" s="100" t="n">
        <x:v>186</x:v>
      </x:c>
      <x:c r="B187" s="101" t="n">
        <x:v>44188</x:v>
      </x:c>
      <x:c r="C187" s="102" t="n">
        <x:v>2020</x:v>
      </x:c>
      <x:c r="D187" s="103" t="str">
        <x:v>ID-222183275432</x:v>
      </x:c>
      <x:c r="E187" s="112" t="str">
        <x:v>[펌]오늘의 무협용어 26~27부</x:v>
      </x:c>
      <x:c r="F187" s="112" t="str">
        <x:v>창작소재</x:v>
      </x:c>
      <x:c r="G187" s="112" t="str">
        <x:v>공통 창작소재</x:v>
      </x:c>
      <x:c r="H187" s="112" t="str">
        <x:v>작법·상업성</x:v>
      </x:c>
      <x:c r="I187" s="112" t="n">
        <x:v>1</x:v>
      </x:c>
      <x:c r="J187" s="112" t="str">
        <x:v>소재</x:v>
      </x:c>
      <x:c r="K187" s="112" t="str">
        <x:v>재게시</x:v>
      </x:c>
      <x:c r="L187" s="112" t="str">
        <x:v>높음</x:v>
      </x:c>
      <x:c r="M187" s="112" t="str">
        <x:v>제목의 펌/퍼옴 표시</x:v>
      </x:c>
      <x:c r="N187" s="116" t="str">
        <x:v>https://gall.dcinside.com/mgallery/board/view/?id=tgijjdd&amp;no=421472&amp;exception_mode=recommend&amp;page=1</x:v>
      </x:c>
      <x:c r="O187" s="116" t="str">
        <x:v>https://m.blog.naver.com/sntu2010/222183275432</x:v>
      </x:c>
      <x:c r="P187" s="112" t="str">
        <x:v>아니오</x:v>
      </x:c>
      <x:c r="Q187" s="113" t="str">
        <x:v>자동 분류·표본 검토 대상</x:v>
      </x:c>
    </x:row>
    <x:row r="188">
      <x:c r="A188" s="100" t="n">
        <x:v>187</x:v>
      </x:c>
      <x:c r="B188" s="101" t="n">
        <x:v>44188</x:v>
      </x:c>
      <x:c r="C188" s="102" t="n">
        <x:v>2020</x:v>
      </x:c>
      <x:c r="D188" s="103" t="str">
        <x:v>ID-222183012235</x:v>
      </x:c>
      <x:c r="E188" s="112" t="str">
        <x:v>상업적 플롯을 사용해야 하는 이유</x:v>
      </x:c>
      <x:c r="F188" s="112" t="str">
        <x:v>웹소생각</x:v>
      </x:c>
      <x:c r="G188" s="112" t="str">
        <x:v>웹소설 직접</x:v>
      </x:c>
      <x:c r="H188" s="112" t="str">
        <x:v>작법·상업성</x:v>
      </x:c>
      <x:c r="I188" s="112" t="n">
        <x:v>28</x:v>
      </x:c>
      <x:c r="J188" s="112" t="str">
        <x:v>상업, 독자, 제목, 소개글, 장르, 설정</x:v>
      </x:c>
      <x:c r="K188" s="112" t="str">
        <x:v>본인 작성/의견 추정</x:v>
      </x:c>
      <x:c r="L188" s="112" t="str">
        <x:v>낮음</x:v>
      </x:c>
      <x:c r="M188" s="112" t="str">
        <x:v>재게시 표시는 없으나 저자성 직접 증거 부족</x:v>
      </x:c>
      <x:c r="N188" s="116" t="str"/>
      <x:c r="O188" s="116" t="str">
        <x:v>https://m.blog.naver.com/sntu2010/222183012235</x:v>
      </x:c>
      <x:c r="P188" s="112" t="str">
        <x:v>예</x:v>
      </x:c>
      <x:c r="Q188" s="113" t="str">
        <x:v>자동 분류·표본 검토 대상</x:v>
      </x:c>
    </x:row>
    <x:row r="189">
      <x:c r="A189" s="100" t="n">
        <x:v>188</x:v>
      </x:c>
      <x:c r="B189" s="101" t="n">
        <x:v>44187</x:v>
      </x:c>
      <x:c r="C189" s="102" t="n">
        <x:v>2020</x:v>
      </x:c>
      <x:c r="D189" s="103" t="str">
        <x:v>ID-222181788634</x:v>
      </x:c>
      <x:c r="E189" s="112" t="str">
        <x:v>[펌]오늘의 무협용어 13~25부</x:v>
      </x:c>
      <x:c r="F189" s="112" t="str">
        <x:v>창작소재</x:v>
      </x:c>
      <x:c r="G189" s="112" t="str">
        <x:v>공통 창작소재</x:v>
      </x:c>
      <x:c r="H189" s="112" t="str">
        <x:v>작법·상업성</x:v>
      </x:c>
      <x:c r="I189" s="112" t="n">
        <x:v>1</x:v>
      </x:c>
      <x:c r="J189" s="112" t="str">
        <x:v>소재</x:v>
      </x:c>
      <x:c r="K189" s="112" t="str">
        <x:v>재게시</x:v>
      </x:c>
      <x:c r="L189" s="112" t="str">
        <x:v>높음</x:v>
      </x:c>
      <x:c r="M189" s="112" t="str">
        <x:v>제목의 펌/퍼옴 표시</x:v>
      </x:c>
      <x:c r="N189" s="116" t="str">
        <x:v>https://gall.dcinside.com/mgallery/board/view/?id=tgijjdd&amp;no=395735&amp;search_pos=-391634&amp;s_type=search_name&amp;s_keyword=%EB%AC%B4%EC%A7%84%EC%9E%A5%EA%B0%95%EB%A3%A1&amp;page=1</x:v>
      </x:c>
      <x:c r="O189" s="116" t="str">
        <x:v>https://m.blog.naver.com/sntu2010/222181788634</x:v>
      </x:c>
      <x:c r="P189" s="112" t="str">
        <x:v>아니오</x:v>
      </x:c>
      <x:c r="Q189" s="113" t="str">
        <x:v>자동 분류·표본 검토 대상</x:v>
      </x:c>
    </x:row>
    <x:row r="190">
      <x:c r="A190" s="100" t="n">
        <x:v>189</x:v>
      </x:c>
      <x:c r="B190" s="101" t="n">
        <x:v>44187</x:v>
      </x:c>
      <x:c r="C190" s="102" t="n">
        <x:v>2020</x:v>
      </x:c>
      <x:c r="D190" s="103" t="str">
        <x:v>ID-222181777763</x:v>
      </x:c>
      <x:c r="E190" s="112" t="str">
        <x:v>[펌]오늘의 무협용어 1~12부</x:v>
      </x:c>
      <x:c r="F190" s="112" t="str">
        <x:v>창작소재</x:v>
      </x:c>
      <x:c r="G190" s="112" t="str">
        <x:v>공통 창작소재</x:v>
      </x:c>
      <x:c r="H190" s="112" t="str">
        <x:v>작법·상업성</x:v>
      </x:c>
      <x:c r="I190" s="112" t="n">
        <x:v>1</x:v>
      </x:c>
      <x:c r="J190" s="112" t="str">
        <x:v>소재</x:v>
      </x:c>
      <x:c r="K190" s="112" t="str">
        <x:v>재게시</x:v>
      </x:c>
      <x:c r="L190" s="112" t="str">
        <x:v>높음</x:v>
      </x:c>
      <x:c r="M190" s="112" t="str">
        <x:v>제목의 펌/퍼옴 표시</x:v>
      </x:c>
      <x:c r="N190" s="116" t="str">
        <x:v>https://gall.dcinside.com/mgallery/board/view/?id=tgijjdd&amp;no=390324&amp;search_pos=-381634&amp;s_type=search_name&amp;s_keyword=%EB%AC%B4%EC%A7%84%EC%9E%A5%EA%B0%95%EB%A3%A1&amp;page=1</x:v>
      </x:c>
      <x:c r="O190" s="116" t="str">
        <x:v>https://m.blog.naver.com/sntu2010/222181777763</x:v>
      </x:c>
      <x:c r="P190" s="112" t="str">
        <x:v>아니오</x:v>
      </x:c>
      <x:c r="Q190" s="113" t="str">
        <x:v>자동 분류·표본 검토 대상</x:v>
      </x:c>
    </x:row>
    <x:row r="191">
      <x:c r="A191" s="100" t="n">
        <x:v>190</x:v>
      </x:c>
      <x:c r="B191" s="101" t="n">
        <x:v>44187</x:v>
      </x:c>
      <x:c r="C191" s="102" t="n">
        <x:v>2020</x:v>
      </x:c>
      <x:c r="D191" s="103" t="str">
        <x:v>ID-222181755727</x:v>
      </x:c>
      <x:c r="E191" s="112" t="str">
        <x:v>[펌]채색에 관한 팁+</x:v>
      </x:c>
      <x:c r="F191" s="112" t="str">
        <x:v>웹툰작법</x:v>
      </x:c>
      <x:c r="G191" s="112" t="str">
        <x:v>웹툰 참고</x:v>
      </x:c>
      <x:c r="H191" s="112" t="str">
        <x:v>작법·상업성</x:v>
      </x:c>
      <x:c r="I191" s="112" t="n">
        <x:v>1</x:v>
      </x:c>
      <x:c r="J191" s="112" t="str">
        <x:v>작법</x:v>
      </x:c>
      <x:c r="K191" s="112" t="str">
        <x:v>재게시</x:v>
      </x:c>
      <x:c r="L191" s="112" t="str">
        <x:v>높음</x:v>
      </x:c>
      <x:c r="M191" s="112" t="str">
        <x:v>제목의 펌/퍼옴 표시</x:v>
      </x:c>
      <x:c r="N191" s="116" t="str">
        <x:v>https://gall.dcinside.com/mgallery/board/view/?id=drawing&amp;no=127659&amp;search_head=110&amp;page=1</x:v>
      </x:c>
      <x:c r="O191" s="116" t="str">
        <x:v>https://m.blog.naver.com/sntu2010/222181755727</x:v>
      </x:c>
      <x:c r="P191" s="112" t="str">
        <x:v>아니오</x:v>
      </x:c>
      <x:c r="Q191" s="113" t="str">
        <x:v>자동 분류·표본 검토 대상</x:v>
      </x:c>
    </x:row>
    <x:row r="192">
      <x:c r="A192" s="100" t="n">
        <x:v>191</x:v>
      </x:c>
      <x:c r="B192" s="101" t="n">
        <x:v>44187</x:v>
      </x:c>
      <x:c r="C192" s="102" t="n">
        <x:v>2020</x:v>
      </x:c>
      <x:c r="D192" s="103" t="str">
        <x:v>ID-222181749087</x:v>
      </x:c>
      <x:c r="E192" s="112" t="str">
        <x:v>[펌]웹툰 '더 복서' 연출 설명</x:v>
      </x:c>
      <x:c r="F192" s="112" t="str">
        <x:v>웹툰작법</x:v>
      </x:c>
      <x:c r="G192" s="112" t="str">
        <x:v>웹툰 참고</x:v>
      </x:c>
      <x:c r="H192" s="112" t="str">
        <x:v>캐릭터·전개</x:v>
      </x:c>
      <x:c r="I192" s="112" t="n">
        <x:v>1</x:v>
      </x:c>
      <x:c r="J192" s="112" t="str">
        <x:v>인물</x:v>
      </x:c>
      <x:c r="K192" s="112" t="str">
        <x:v>재게시</x:v>
      </x:c>
      <x:c r="L192" s="112" t="str">
        <x:v>높음</x:v>
      </x:c>
      <x:c r="M192" s="112" t="str">
        <x:v>제목의 펌/퍼옴 표시</x:v>
      </x:c>
      <x:c r="N192" s="116" t="str">
        <x:v>https://gall.dcinside.com/mgallery/board/view/?id=koreantoon&amp;no=30787</x:v>
      </x:c>
      <x:c r="O192" s="116" t="str">
        <x:v>https://m.blog.naver.com/sntu2010/222181749087</x:v>
      </x:c>
      <x:c r="P192" s="112" t="str">
        <x:v>아니오</x:v>
      </x:c>
      <x:c r="Q192" s="113" t="str">
        <x:v>자동 분류·표본 검토 대상</x:v>
      </x:c>
    </x:row>
    <x:row r="193">
      <x:c r="A193" s="100" t="n">
        <x:v>192</x:v>
      </x:c>
      <x:c r="B193" s="101" t="n">
        <x:v>44179</x:v>
      </x:c>
      <x:c r="C193" s="102" t="n">
        <x:v>2020</x:v>
      </x:c>
      <x:c r="D193" s="103" t="str">
        <x:v>ID-222173396599</x:v>
      </x:c>
      <x:c r="E193" s="112" t="str">
        <x:v>차기작 준비하며 떠오르는 이런저런 생각</x:v>
      </x:c>
      <x:c r="F193" s="112" t="str">
        <x:v>웹소생각</x:v>
      </x:c>
      <x:c r="G193" s="112" t="str">
        <x:v>웹소설 직접</x:v>
      </x:c>
      <x:c r="H193" s="112" t="str">
        <x:v>작법·상업성</x:v>
      </x:c>
      <x:c r="I193" s="112" t="n">
        <x:v>3</x:v>
      </x:c>
      <x:c r="J193" s="112" t="str">
        <x:v>클리셰</x:v>
      </x:c>
      <x:c r="K193" s="112" t="str">
        <x:v>본인 작성/의견 추정</x:v>
      </x:c>
      <x:c r="L193" s="112" t="str">
        <x:v>낮음</x:v>
      </x:c>
      <x:c r="M193" s="112" t="str">
        <x:v>재게시 표시는 없으나 저자성 직접 증거 부족</x:v>
      </x:c>
      <x:c r="N193" s="116" t="str"/>
      <x:c r="O193" s="116" t="str">
        <x:v>https://m.blog.naver.com/sntu2010/222173396599</x:v>
      </x:c>
      <x:c r="P193" s="112" t="str">
        <x:v>아니오</x:v>
      </x:c>
      <x:c r="Q193" s="113" t="str">
        <x:v>자동 분류·표본 검토 대상</x:v>
      </x:c>
    </x:row>
    <x:row r="194">
      <x:c r="A194" s="100" t="n">
        <x:v>193</x:v>
      </x:c>
      <x:c r="B194" s="101" t="n">
        <x:v>44177</x:v>
      </x:c>
      <x:c r="C194" s="102" t="n">
        <x:v>2020</x:v>
      </x:c>
      <x:c r="D194" s="103" t="str">
        <x:v>ID-222171261581</x:v>
      </x:c>
      <x:c r="E194" s="112" t="str">
        <x:v>[펌]일러스트에서 실물모작이 중요한 이유</x:v>
      </x:c>
      <x:c r="F194" s="112" t="str">
        <x:v>웹툰작법</x:v>
      </x:c>
      <x:c r="G194" s="112" t="str">
        <x:v>웹툰 참고</x:v>
      </x:c>
      <x:c r="H194" s="112" t="str">
        <x:v>작법·상업성</x:v>
      </x:c>
      <x:c r="I194" s="112" t="n">
        <x:v>1</x:v>
      </x:c>
      <x:c r="J194" s="112" t="str">
        <x:v>작법</x:v>
      </x:c>
      <x:c r="K194" s="112" t="str">
        <x:v>재게시</x:v>
      </x:c>
      <x:c r="L194" s="112" t="str">
        <x:v>높음</x:v>
      </x:c>
      <x:c r="M194" s="112" t="str">
        <x:v>제목의 펌/퍼옴 표시</x:v>
      </x:c>
      <x:c r="N194" s="116" t="str">
        <x:v>https://gall.dcinside.com/mgallery/board/view/?id=drawing&amp;no=126118&amp;_rk=urT&amp;search_head=110&amp;page=1</x:v>
      </x:c>
      <x:c r="O194" s="116" t="str">
        <x:v>https://m.blog.naver.com/sntu2010/222171261581</x:v>
      </x:c>
      <x:c r="P194" s="112" t="str">
        <x:v>아니오</x:v>
      </x:c>
      <x:c r="Q194" s="113" t="str">
        <x:v>자동 분류·표본 검토 대상</x:v>
      </x:c>
    </x:row>
    <x:row r="195">
      <x:c r="A195" s="100" t="n">
        <x:v>194</x:v>
      </x:c>
      <x:c r="B195" s="101" t="n">
        <x:v>44177</x:v>
      </x:c>
      <x:c r="C195" s="102" t="n">
        <x:v>2020</x:v>
      </x:c>
      <x:c r="D195" s="103" t="str">
        <x:v>ID-222171256423</x:v>
      </x:c>
      <x:c r="E195" s="112" t="str">
        <x:v>[펌]3개월만에 그림실력 일취월장 하는법</x:v>
      </x:c>
      <x:c r="F195" s="112" t="str">
        <x:v>웹툰작법</x:v>
      </x:c>
      <x:c r="G195" s="112" t="str">
        <x:v>웹툰 참고</x:v>
      </x:c>
      <x:c r="H195" s="112" t="str">
        <x:v>캐릭터·전개</x:v>
      </x:c>
      <x:c r="I195" s="112" t="n">
        <x:v>1</x:v>
      </x:c>
      <x:c r="J195" s="112" t="str">
        <x:v>인물</x:v>
      </x:c>
      <x:c r="K195" s="112" t="str">
        <x:v>재게시</x:v>
      </x:c>
      <x:c r="L195" s="112" t="str">
        <x:v>높음</x:v>
      </x:c>
      <x:c r="M195" s="112" t="str">
        <x:v>제목의 펌/퍼옴 표시</x:v>
      </x:c>
      <x:c r="N195" s="116" t="str">
        <x:v>https://gall.dcinside.com/mgallery/board/view/?id=drawing&amp;no=125255&amp;_rk=EYz&amp;search_head=110&amp;page=1</x:v>
      </x:c>
      <x:c r="O195" s="116" t="str">
        <x:v>https://m.blog.naver.com/sntu2010/222171256423</x:v>
      </x:c>
      <x:c r="P195" s="112" t="str">
        <x:v>아니오</x:v>
      </x:c>
      <x:c r="Q195" s="113" t="str">
        <x:v>자동 분류·표본 검토 대상</x:v>
      </x:c>
    </x:row>
    <x:row r="196">
      <x:c r="A196" s="100" t="n">
        <x:v>195</x:v>
      </x:c>
      <x:c r="B196" s="101" t="n">
        <x:v>44172</x:v>
      </x:c>
      <x:c r="C196" s="102" t="n">
        <x:v>2020</x:v>
      </x:c>
      <x:c r="D196" s="103" t="str">
        <x:v>ID-222166321755</x:v>
      </x:c>
      <x:c r="E196" s="112" t="str">
        <x:v>[펌]아직도 범람하는 아카데미물에 대한 가벼운 분석해봄</x:v>
      </x:c>
      <x:c r="F196" s="112" t="str">
        <x:v>웹소작법</x:v>
      </x:c>
      <x:c r="G196" s="112" t="str">
        <x:v>웹소설 직접</x:v>
      </x:c>
      <x:c r="H196" s="112" t="str">
        <x:v>플랫폼·투고·계약</x:v>
      </x:c>
      <x:c r="I196" s="112" t="n">
        <x:v>3</x:v>
      </x:c>
      <x:c r="J196" s="112" t="str">
        <x:v>문피아, 조아라</x:v>
      </x:c>
      <x:c r="K196" s="112" t="str">
        <x:v>재게시</x:v>
      </x:c>
      <x:c r="L196" s="112" t="str">
        <x:v>높음</x:v>
      </x:c>
      <x:c r="M196" s="112" t="str">
        <x:v>제목의 펌/퍼옴 표시</x:v>
      </x:c>
      <x:c r="N196" s="116" t="str">
        <x:v>https://gall.dcinside.com/mgallery/board/view/?id=tgijjdd&amp;no=417105&amp;_rk=EYz&amp;page=1</x:v>
      </x:c>
      <x:c r="O196" s="116" t="str">
        <x:v>https://m.blog.naver.com/sntu2010/222166321755</x:v>
      </x:c>
      <x:c r="P196" s="112" t="str">
        <x:v>아니오</x:v>
      </x:c>
      <x:c r="Q196" s="113" t="str">
        <x:v>자동 분류·표본 검토 대상</x:v>
      </x:c>
    </x:row>
    <x:row r="197">
      <x:c r="A197" s="100" t="n">
        <x:v>196</x:v>
      </x:c>
      <x:c r="B197" s="101" t="n">
        <x:v>44170</x:v>
      </x:c>
      <x:c r="C197" s="102" t="n">
        <x:v>2020</x:v>
      </x:c>
      <x:c r="D197" s="103" t="str">
        <x:v>ID-222163729385</x:v>
      </x:c>
      <x:c r="E197" s="112" t="str">
        <x:v>[펌]무협용어 - 구파일방</x:v>
      </x:c>
      <x:c r="F197" s="112" t="str">
        <x:v>창작소재</x:v>
      </x:c>
      <x:c r="G197" s="112" t="str">
        <x:v>공통 창작소재</x:v>
      </x:c>
      <x:c r="H197" s="112" t="str">
        <x:v>캐릭터·전개</x:v>
      </x:c>
      <x:c r="I197" s="112" t="n">
        <x:v>1</x:v>
      </x:c>
      <x:c r="J197" s="112" t="str">
        <x:v>대사</x:v>
      </x:c>
      <x:c r="K197" s="112" t="str">
        <x:v>재게시</x:v>
      </x:c>
      <x:c r="L197" s="112" t="str">
        <x:v>높음</x:v>
      </x:c>
      <x:c r="M197" s="112" t="str">
        <x:v>제목의 펌/퍼옴 표시</x:v>
      </x:c>
      <x:c r="N197" s="116" t="str">
        <x:v>http://yard.joara.com/main.html?yard_id=bks4484&amp;type=&amp;cate_code=&amp;idx=&amp;ifr_url=</x:v>
      </x:c>
      <x:c r="O197" s="116" t="str">
        <x:v>https://m.blog.naver.com/sntu2010/222163729385</x:v>
      </x:c>
      <x:c r="P197" s="112" t="str">
        <x:v>아니오</x:v>
      </x:c>
      <x:c r="Q197" s="113" t="str">
        <x:v>자동 분류·표본 검토 대상</x:v>
      </x:c>
    </x:row>
    <x:row r="198">
      <x:c r="A198" s="100" t="n">
        <x:v>197</x:v>
      </x:c>
      <x:c r="B198" s="101" t="n">
        <x:v>44170</x:v>
      </x:c>
      <x:c r="C198" s="102" t="n">
        <x:v>2020</x:v>
      </x:c>
      <x:c r="D198" s="103" t="str">
        <x:v>ID-222163725144</x:v>
      </x:c>
      <x:c r="E198" s="112" t="str">
        <x:v>[펌]중세 유럽의 귀족 체제</x:v>
      </x:c>
      <x:c r="F198" s="112" t="str">
        <x:v>창작소재</x:v>
      </x:c>
      <x:c r="G198" s="112" t="str">
        <x:v>공통 창작소재</x:v>
      </x:c>
      <x:c r="H198" s="112" t="str">
        <x:v>작법·상업성</x:v>
      </x:c>
      <x:c r="I198" s="112" t="n">
        <x:v>1</x:v>
      </x:c>
      <x:c r="J198" s="112" t="str">
        <x:v>소재</x:v>
      </x:c>
      <x:c r="K198" s="112" t="str">
        <x:v>재게시</x:v>
      </x:c>
      <x:c r="L198" s="112" t="str">
        <x:v>높음</x:v>
      </x:c>
      <x:c r="M198" s="112" t="str">
        <x:v>제목의 펌/퍼옴 표시</x:v>
      </x:c>
      <x:c r="N198" s="116" t="str">
        <x:v>http://yard.joara.com/user/yard_board_view.html?idx=515166&amp;cate_code=1&amp;yard_id=bks4484</x:v>
      </x:c>
      <x:c r="O198" s="116" t="str">
        <x:v>https://m.blog.naver.com/sntu2010/222163725144</x:v>
      </x:c>
      <x:c r="P198" s="112" t="str">
        <x:v>아니오</x:v>
      </x:c>
      <x:c r="Q198" s="113" t="str">
        <x:v>자동 분류·표본 검토 대상</x:v>
      </x:c>
    </x:row>
    <x:row r="199">
      <x:c r="A199" s="100" t="n">
        <x:v>198</x:v>
      </x:c>
      <x:c r="B199" s="101" t="n">
        <x:v>44169</x:v>
      </x:c>
      <x:c r="C199" s="102" t="n">
        <x:v>2020</x:v>
      </x:c>
      <x:c r="D199" s="103" t="str">
        <x:v>ID-222162580926</x:v>
      </x:c>
      <x:c r="E199" s="112" t="str">
        <x:v>웹소설 에피소드 1개를 몇 화로? 컨텐츠 구성은?</x:v>
      </x:c>
      <x:c r="F199" s="112" t="str">
        <x:v>웹소생각</x:v>
      </x:c>
      <x:c r="G199" s="112" t="str">
        <x:v>웹소설 직접</x:v>
      </x:c>
      <x:c r="H199" s="112" t="str">
        <x:v>캐릭터·전개</x:v>
      </x:c>
      <x:c r="I199" s="112" t="n">
        <x:v>25</x:v>
      </x:c>
      <x:c r="J199" s="112" t="str">
        <x:v>에피소드</x:v>
      </x:c>
      <x:c r="K199" s="112" t="str">
        <x:v>본인 작성/의견 추정</x:v>
      </x:c>
      <x:c r="L199" s="112" t="str">
        <x:v>낮음</x:v>
      </x:c>
      <x:c r="M199" s="112" t="str">
        <x:v>재게시 표시는 없으나 저자성 직접 증거 부족</x:v>
      </x:c>
      <x:c r="N199" s="116" t="str"/>
      <x:c r="O199" s="116" t="str">
        <x:v>https://m.blog.naver.com/sntu2010/222162580926</x:v>
      </x:c>
      <x:c r="P199" s="112" t="str">
        <x:v>예</x:v>
      </x:c>
      <x:c r="Q199" s="113" t="str">
        <x:v>자동 분류·표본 검토 대상</x:v>
      </x:c>
    </x:row>
    <x:row r="200">
      <x:c r="A200" s="100" t="n">
        <x:v>199</x:v>
      </x:c>
      <x:c r="B200" s="101" t="n">
        <x:v>44168</x:v>
      </x:c>
      <x:c r="C200" s="102" t="n">
        <x:v>2020</x:v>
      </x:c>
      <x:c r="D200" s="103" t="str">
        <x:v>ID-222162204104</x:v>
      </x:c>
      <x:c r="E200" s="112" t="str">
        <x:v>웹소설 인기소재 '회빙환'에 대해 알아보자!</x:v>
      </x:c>
      <x:c r="F200" s="112" t="str">
        <x:v>웹소생각</x:v>
      </x:c>
      <x:c r="G200" s="112" t="str">
        <x:v>웹소설 직접</x:v>
      </x:c>
      <x:c r="H200" s="112" t="str">
        <x:v>작법·상업성</x:v>
      </x:c>
      <x:c r="I200" s="112" t="n">
        <x:v>28</x:v>
      </x:c>
      <x:c r="J200" s="112" t="str">
        <x:v>소재, 클리셰, 독자, 재미</x:v>
      </x:c>
      <x:c r="K200" s="112" t="str">
        <x:v>본인 작성/의견 추정</x:v>
      </x:c>
      <x:c r="L200" s="112" t="str">
        <x:v>낮음</x:v>
      </x:c>
      <x:c r="M200" s="112" t="str">
        <x:v>재게시 표시는 없으나 저자성 직접 증거 부족</x:v>
      </x:c>
      <x:c r="N200" s="116" t="str"/>
      <x:c r="O200" s="116" t="str">
        <x:v>https://m.blog.naver.com/sntu2010/222162204104</x:v>
      </x:c>
      <x:c r="P200" s="112" t="str">
        <x:v>예</x:v>
      </x:c>
      <x:c r="Q200" s="113" t="str">
        <x:v>자동 분류·표본 검토 대상</x:v>
      </x:c>
    </x:row>
    <x:row r="201">
      <x:c r="A201" s="100" t="n">
        <x:v>200</x:v>
      </x:c>
      <x:c r="B201" s="101" t="n">
        <x:v>44157</x:v>
      </x:c>
      <x:c r="C201" s="102" t="n">
        <x:v>2020</x:v>
      </x:c>
      <x:c r="D201" s="103" t="str">
        <x:v>ID-222151345111</x:v>
      </x:c>
      <x:c r="E201" s="112" t="str">
        <x:v>[펌]도형화, 해부학 하면 안되는 이유</x:v>
      </x:c>
      <x:c r="F201" s="112" t="str">
        <x:v>웹툰작법</x:v>
      </x:c>
      <x:c r="G201" s="112" t="str">
        <x:v>웹툰 참고</x:v>
      </x:c>
      <x:c r="H201" s="112" t="str">
        <x:v>작법·상업성</x:v>
      </x:c>
      <x:c r="I201" s="112" t="n">
        <x:v>1</x:v>
      </x:c>
      <x:c r="J201" s="112" t="str">
        <x:v>작법</x:v>
      </x:c>
      <x:c r="K201" s="112" t="str">
        <x:v>재게시</x:v>
      </x:c>
      <x:c r="L201" s="112" t="str">
        <x:v>높음</x:v>
      </x:c>
      <x:c r="M201" s="112" t="str">
        <x:v>제목의 펌/퍼옴 표시</x:v>
      </x:c>
      <x:c r="N201" s="116" t="str">
        <x:v>https://gall.dcinside.com/mgallery/board/view/?id=drawing&amp;no=117470&amp;_rk=Zxh&amp;exception_mode=recommend&amp;search_head=110&amp;page=1</x:v>
      </x:c>
      <x:c r="O201" s="116" t="str">
        <x:v>https://m.blog.naver.com/sntu2010/222151345111</x:v>
      </x:c>
      <x:c r="P201" s="112" t="str">
        <x:v>아니오</x:v>
      </x:c>
      <x:c r="Q201" s="113" t="str">
        <x:v>자동 분류·표본 검토 대상</x:v>
      </x:c>
    </x:row>
    <x:row r="202">
      <x:c r="A202" s="100" t="n">
        <x:v>201</x:v>
      </x:c>
      <x:c r="B202" s="101" t="n">
        <x:v>44157</x:v>
      </x:c>
      <x:c r="C202" s="102" t="n">
        <x:v>2020</x:v>
      </x:c>
      <x:c r="D202" s="103" t="str">
        <x:v>ID-222151332633</x:v>
      </x:c>
      <x:c r="E202" s="112" t="str">
        <x:v>[펌]이제 막 시작하는 망생짱들(노쓰우드 작가님)</x:v>
      </x:c>
      <x:c r="F202" s="112" t="str">
        <x:v>웹소작법</x:v>
      </x:c>
      <x:c r="G202" s="112" t="str">
        <x:v>웹소설 직접</x:v>
      </x:c>
      <x:c r="H202" s="112" t="str">
        <x:v>플랫폼·투고·계약</x:v>
      </x:c>
      <x:c r="I202" s="112" t="n">
        <x:v>5</x:v>
      </x:c>
      <x:c r="J202" s="112" t="str">
        <x:v>문피아, 카카오, 매니지</x:v>
      </x:c>
      <x:c r="K202" s="112" t="str">
        <x:v>재게시</x:v>
      </x:c>
      <x:c r="L202" s="112" t="str">
        <x:v>높음</x:v>
      </x:c>
      <x:c r="M202" s="112" t="str">
        <x:v>제목의 펌/퍼옴 표시</x:v>
      </x:c>
      <x:c r="N202" s="116" t="str">
        <x:v>https://gall.dcinside.com/mgallery/board/view/?id=tgijjdd&amp;no=410263&amp;_rk=tDL&amp;exception_mode=recommend&amp;page=1</x:v>
      </x:c>
      <x:c r="O202" s="116" t="str">
        <x:v>https://m.blog.naver.com/sntu2010/222151332633</x:v>
      </x:c>
      <x:c r="P202" s="112" t="str">
        <x:v>아니오</x:v>
      </x:c>
      <x:c r="Q202" s="113" t="str">
        <x:v>자동 분류·표본 검토 대상</x:v>
      </x:c>
    </x:row>
    <x:row r="203">
      <x:c r="A203" s="100" t="n">
        <x:v>202</x:v>
      </x:c>
      <x:c r="B203" s="101" t="n">
        <x:v>44156</x:v>
      </x:c>
      <x:c r="C203" s="102" t="n">
        <x:v>2020</x:v>
      </x:c>
      <x:c r="D203" s="103" t="str">
        <x:v>ID-222150847336</x:v>
      </x:c>
      <x:c r="E203" s="112" t="str">
        <x:v>[펌]스토리 공부법 / 메모는 필수</x:v>
      </x:c>
      <x:c r="F203" s="112" t="str">
        <x:v>웹툰작법</x:v>
      </x:c>
      <x:c r="G203" s="112" t="str">
        <x:v>웹툰 참고</x:v>
      </x:c>
      <x:c r="H203" s="112" t="str">
        <x:v>캐릭터·전개</x:v>
      </x:c>
      <x:c r="I203" s="112" t="n">
        <x:v>5</x:v>
      </x:c>
      <x:c r="J203" s="112" t="str">
        <x:v>전개, 사건</x:v>
      </x:c>
      <x:c r="K203" s="112" t="str">
        <x:v>재게시</x:v>
      </x:c>
      <x:c r="L203" s="112" t="str">
        <x:v>높음</x:v>
      </x:c>
      <x:c r="M203" s="112" t="str">
        <x:v>제목의 펌/퍼옴 표시</x:v>
      </x:c>
      <x:c r="N203" s="116" t="str">
        <x:v>https://gall.dcinside.com/mgallery/board/view/?id=cartoonist&amp;no=61585&amp;_rk=EYz&amp;exception_mode=recommend&amp;page=1</x:v>
      </x:c>
      <x:c r="O203" s="116" t="str">
        <x:v>https://m.blog.naver.com/sntu2010/222150847336</x:v>
      </x:c>
      <x:c r="P203" s="112" t="str">
        <x:v>아니오</x:v>
      </x:c>
      <x:c r="Q203" s="113" t="str">
        <x:v>자동 분류·표본 검토 대상</x:v>
      </x:c>
    </x:row>
    <x:row r="204">
      <x:c r="A204" s="100" t="n">
        <x:v>203</x:v>
      </x:c>
      <x:c r="B204" s="101" t="n">
        <x:v>44156</x:v>
      </x:c>
      <x:c r="C204" s="102" t="n">
        <x:v>2020</x:v>
      </x:c>
      <x:c r="D204" s="103" t="str">
        <x:v>ID-222150846134</x:v>
      </x:c>
      <x:c r="E204" s="112" t="str">
        <x:v>[펌]이야기 만드는 법은 왜 어려운가??</x:v>
      </x:c>
      <x:c r="F204" s="112" t="str">
        <x:v>웹툰작법</x:v>
      </x:c>
      <x:c r="G204" s="112" t="str">
        <x:v>웹툰 참고</x:v>
      </x:c>
      <x:c r="H204" s="112" t="str">
        <x:v>작법·상업성</x:v>
      </x:c>
      <x:c r="I204" s="112" t="n">
        <x:v>1</x:v>
      </x:c>
      <x:c r="J204" s="112" t="str">
        <x:v>작법</x:v>
      </x:c>
      <x:c r="K204" s="112" t="str">
        <x:v>재게시</x:v>
      </x:c>
      <x:c r="L204" s="112" t="str">
        <x:v>높음</x:v>
      </x:c>
      <x:c r="M204" s="112" t="str">
        <x:v>제목의 펌/퍼옴 표시</x:v>
      </x:c>
      <x:c r="N204" s="116" t="str">
        <x:v>https://gall.dcinside.com/mgallery/board/view/?id=cartoonist&amp;no=61479&amp;_rk=zx3&amp;exception_mode=recommend&amp;page=1</x:v>
      </x:c>
      <x:c r="O204" s="116" t="str">
        <x:v>https://m.blog.naver.com/sntu2010/222150846134</x:v>
      </x:c>
      <x:c r="P204" s="112" t="str">
        <x:v>아니오</x:v>
      </x:c>
      <x:c r="Q204" s="113" t="str">
        <x:v>자동 분류·표본 검토 대상</x:v>
      </x:c>
    </x:row>
    <x:row r="205">
      <x:c r="A205" s="100" t="n">
        <x:v>204</x:v>
      </x:c>
      <x:c r="B205" s="101" t="n">
        <x:v>44156</x:v>
      </x:c>
      <x:c r="C205" s="102" t="n">
        <x:v>2020</x:v>
      </x:c>
      <x:c r="D205" s="103" t="str">
        <x:v>ID-222150842430</x:v>
      </x:c>
      <x:c r="E205" s="112" t="str">
        <x:v>[펌]만화 모작 연습법</x:v>
      </x:c>
      <x:c r="F205" s="112" t="str">
        <x:v>웹툰작법</x:v>
      </x:c>
      <x:c r="G205" s="112" t="str">
        <x:v>웹툰 참고</x:v>
      </x:c>
      <x:c r="H205" s="112" t="str">
        <x:v>작법·상업성</x:v>
      </x:c>
      <x:c r="I205" s="112" t="n">
        <x:v>1</x:v>
      </x:c>
      <x:c r="J205" s="112" t="str">
        <x:v>작법</x:v>
      </x:c>
      <x:c r="K205" s="112" t="str">
        <x:v>재게시</x:v>
      </x:c>
      <x:c r="L205" s="112" t="str">
        <x:v>높음</x:v>
      </x:c>
      <x:c r="M205" s="112" t="str">
        <x:v>제목의 펌/퍼옴 표시</x:v>
      </x:c>
      <x:c r="N205" s="116" t="str">
        <x:v>https://gall.dcinside.com/mgallery/board/view/?id=cartoonist&amp;no=60835&amp;_rk=EYz&amp;exception_mode=recommend&amp;page=1</x:v>
      </x:c>
      <x:c r="O205" s="116" t="str">
        <x:v>https://m.blog.naver.com/sntu2010/222150842430</x:v>
      </x:c>
      <x:c r="P205" s="112" t="str">
        <x:v>아니오</x:v>
      </x:c>
      <x:c r="Q205" s="113" t="str">
        <x:v>자동 분류·표본 검토 대상</x:v>
      </x:c>
    </x:row>
    <x:row r="206">
      <x:c r="A206" s="100" t="n">
        <x:v>205</x:v>
      </x:c>
      <x:c r="B206" s="101" t="n">
        <x:v>44156</x:v>
      </x:c>
      <x:c r="C206" s="102" t="n">
        <x:v>2020</x:v>
      </x:c>
      <x:c r="D206" s="103" t="str">
        <x:v>ID-222150524545</x:v>
      </x:c>
      <x:c r="E206" s="112" t="str">
        <x:v>[펌]플롯의 대한 구성 미세팁</x:v>
      </x:c>
      <x:c r="F206" s="112" t="str">
        <x:v>웹소작법</x:v>
      </x:c>
      <x:c r="G206" s="112" t="str">
        <x:v>웹소설 직접</x:v>
      </x:c>
      <x:c r="H206" s="112" t="str">
        <x:v>캐릭터·전개</x:v>
      </x:c>
      <x:c r="I206" s="112" t="n">
        <x:v>27</x:v>
      </x:c>
      <x:c r="J206" s="112" t="str">
        <x:v>플롯</x:v>
      </x:c>
      <x:c r="K206" s="112" t="str">
        <x:v>재게시</x:v>
      </x:c>
      <x:c r="L206" s="112" t="str">
        <x:v>높음</x:v>
      </x:c>
      <x:c r="M206" s="112" t="str">
        <x:v>제목의 펌/퍼옴 표시</x:v>
      </x:c>
      <x:c r="N206" s="116" t="str">
        <x:v>https://gall.dcinside.com/mgallery/board/view/?id=tgijjdd&amp;no=371337&amp;_rk=eYK&amp;search_head=30&amp;page=1</x:v>
      </x:c>
      <x:c r="O206" s="116" t="str">
        <x:v>https://m.blog.naver.com/sntu2010/222150524545</x:v>
      </x:c>
      <x:c r="P206" s="112" t="str">
        <x:v>예</x:v>
      </x:c>
      <x:c r="Q206" s="113" t="str">
        <x:v>자동 분류·표본 검토 대상</x:v>
      </x:c>
    </x:row>
    <x:row r="207">
      <x:c r="A207" s="100" t="n">
        <x:v>206</x:v>
      </x:c>
      <x:c r="B207" s="101" t="n">
        <x:v>44140</x:v>
      </x:c>
      <x:c r="C207" s="102" t="n">
        <x:v>2020</x:v>
      </x:c>
      <x:c r="D207" s="103" t="str">
        <x:v>ID-222136278672</x:v>
      </x:c>
      <x:c r="E207" s="112" t="str">
        <x:v>[펌]투시 - 대각소실점</x:v>
      </x:c>
      <x:c r="F207" s="112" t="str">
        <x:v>웹툰작법</x:v>
      </x:c>
      <x:c r="G207" s="112" t="str">
        <x:v>웹툰 참고</x:v>
      </x:c>
      <x:c r="H207" s="112" t="str">
        <x:v>캐릭터·전개</x:v>
      </x:c>
      <x:c r="I207" s="112" t="n">
        <x:v>1</x:v>
      </x:c>
      <x:c r="J207" s="112" t="str">
        <x:v>빌런</x:v>
      </x:c>
      <x:c r="K207" s="112" t="str">
        <x:v>재게시</x:v>
      </x:c>
      <x:c r="L207" s="112" t="str">
        <x:v>높음</x:v>
      </x:c>
      <x:c r="M207" s="112" t="str">
        <x:v>제목의 펌/퍼옴 표시</x:v>
      </x:c>
      <x:c r="N207" s="116" t="str">
        <x:v>https://gall.dcinside.com/mgallery/board/view/?id=drawing&amp;no=109164&amp;_rk=96k&amp;exception_mode=recommend&amp;search_head=110&amp;page=1</x:v>
      </x:c>
      <x:c r="O207" s="116" t="str">
        <x:v>https://m.blog.naver.com/sntu2010/222136278672</x:v>
      </x:c>
      <x:c r="P207" s="112" t="str">
        <x:v>아니오</x:v>
      </x:c>
      <x:c r="Q207" s="113" t="str">
        <x:v>자동 분류·표본 검토 대상</x:v>
      </x:c>
    </x:row>
    <x:row r="208">
      <x:c r="A208" s="100" t="n">
        <x:v>207</x:v>
      </x:c>
      <x:c r="B208" s="101" t="n">
        <x:v>44140</x:v>
      </x:c>
      <x:c r="C208" s="102" t="n">
        <x:v>2020</x:v>
      </x:c>
      <x:c r="D208" s="103" t="str">
        <x:v>ID-222136275448</x:v>
      </x:c>
      <x:c r="E208" s="112" t="str">
        <x:v>[펌]웹소설 작가가 글 구상하는 방법</x:v>
      </x:c>
      <x:c r="F208" s="112" t="str">
        <x:v>웹툰작법</x:v>
      </x:c>
      <x:c r="G208" s="112" t="str">
        <x:v>웹툰 참고</x:v>
      </x:c>
      <x:c r="H208" s="112" t="str">
        <x:v>캐릭터·전개</x:v>
      </x:c>
      <x:c r="I208" s="112" t="n">
        <x:v>7</x:v>
      </x:c>
      <x:c r="J208" s="112" t="str">
        <x:v>주인공, 인물</x:v>
      </x:c>
      <x:c r="K208" s="112" t="str">
        <x:v>재게시</x:v>
      </x:c>
      <x:c r="L208" s="112" t="str">
        <x:v>높음</x:v>
      </x:c>
      <x:c r="M208" s="112" t="str">
        <x:v>제목의 펌/퍼옴 표시</x:v>
      </x:c>
      <x:c r="N208" s="116" t="str">
        <x:v>https://gall.dcinside.com/mgallery/board/view/?id=cartoonist&amp;no=55186&amp;_rk=JRL&amp;exception_mode=recommend&amp;page=2</x:v>
      </x:c>
      <x:c r="O208" s="116" t="str">
        <x:v>https://m.blog.naver.com/sntu2010/222136275448</x:v>
      </x:c>
      <x:c r="P208" s="112" t="str">
        <x:v>아니오</x:v>
      </x:c>
      <x:c r="Q208" s="113" t="str">
        <x:v>자동 분류·표본 검토 대상</x:v>
      </x:c>
    </x:row>
    <x:row r="209">
      <x:c r="A209" s="100" t="n">
        <x:v>208</x:v>
      </x:c>
      <x:c r="B209" s="101" t="n">
        <x:v>44140</x:v>
      </x:c>
      <x:c r="C209" s="102" t="n">
        <x:v>2020</x:v>
      </x:c>
      <x:c r="D209" s="103" t="str">
        <x:v>ID-222136269916</x:v>
      </x:c>
      <x:c r="E209" s="112" t="str">
        <x:v>[펌]캐릭터 말투, 개성 안 흔들리는 팁</x:v>
      </x:c>
      <x:c r="F209" s="112" t="str">
        <x:v>웹소작법</x:v>
      </x:c>
      <x:c r="G209" s="112" t="str">
        <x:v>웹소설 직접</x:v>
      </x:c>
      <x:c r="H209" s="112" t="str">
        <x:v>캐릭터·전개</x:v>
      </x:c>
      <x:c r="I209" s="112" t="n">
        <x:v>28</x:v>
      </x:c>
      <x:c r="J209" s="112" t="str">
        <x:v>캐릭터, 인물</x:v>
      </x:c>
      <x:c r="K209" s="112" t="str">
        <x:v>재게시</x:v>
      </x:c>
      <x:c r="L209" s="112" t="str">
        <x:v>높음</x:v>
      </x:c>
      <x:c r="M209" s="112" t="str">
        <x:v>제목의 펌/퍼옴 표시</x:v>
      </x:c>
      <x:c r="N209" s="116" t="str">
        <x:v>https://gall.dcinside.com/mgallery/board/view/?id=tgijjdd&amp;no=403857&amp;_rk=eYK&amp;exception_mode=recommend&amp;page=1</x:v>
      </x:c>
      <x:c r="O209" s="116" t="str">
        <x:v>https://m.blog.naver.com/sntu2010/222136269916</x:v>
      </x:c>
      <x:c r="P209" s="112" t="str">
        <x:v>예</x:v>
      </x:c>
      <x:c r="Q209" s="113" t="str">
        <x:v>자동 분류·표본 검토 대상</x:v>
      </x:c>
    </x:row>
    <x:row r="210">
      <x:c r="A210" s="100" t="n">
        <x:v>209</x:v>
      </x:c>
      <x:c r="B210" s="101" t="n">
        <x:v>44132</x:v>
      </x:c>
      <x:c r="C210" s="102" t="n">
        <x:v>2020</x:v>
      </x:c>
      <x:c r="D210" s="103" t="str">
        <x:v>ID-222129125657</x:v>
      </x:c>
      <x:c r="E210" s="112" t="str">
        <x:v>웹소설 작가 월수입은? 전업 웹소설가가 밝히는 웹소설 수입 구조</x:v>
      </x:c>
      <x:c r="F210" s="112" t="str">
        <x:v>웹소생각</x:v>
      </x:c>
      <x:c r="G210" s="112" t="str">
        <x:v>웹소설 직접</x:v>
      </x:c>
      <x:c r="H210" s="112" t="str">
        <x:v>수익·운영</x:v>
      </x:c>
      <x:c r="I210" s="112" t="n">
        <x:v>67</x:v>
      </x:c>
      <x:c r="J210" s="112" t="str">
        <x:v>수입, 전업, 수익, 매출</x:v>
      </x:c>
      <x:c r="K210" s="112" t="str">
        <x:v>외부자료 소개/재가공</x:v>
      </x:c>
      <x:c r="L210" s="112" t="str">
        <x:v>중간</x:v>
      </x:c>
      <x:c r="M210" s="112" t="str">
        <x:v>본문 앞부분의 외부 출처 URL</x:v>
      </x:c>
      <x:c r="N210" s="116" t="str">
        <x:v>https://blog.naver.com/sntu2010/221310212977)</x:v>
      </x:c>
      <x:c r="O210" s="116" t="str">
        <x:v>https://m.blog.naver.com/sntu2010/222129125657</x:v>
      </x:c>
      <x:c r="P210" s="112" t="str">
        <x:v>예</x:v>
      </x:c>
      <x:c r="Q210" s="113" t="str">
        <x:v>자동 분류·표본 검토 대상</x:v>
      </x:c>
    </x:row>
    <x:row r="211">
      <x:c r="A211" s="100" t="n">
        <x:v>210</x:v>
      </x:c>
      <x:c r="B211" s="101" t="n">
        <x:v>44131</x:v>
      </x:c>
      <x:c r="C211" s="102" t="n">
        <x:v>2020</x:v>
      </x:c>
      <x:c r="D211" s="103" t="str">
        <x:v>ID-222128138436</x:v>
      </x:c>
      <x:c r="E211" s="112" t="str">
        <x:v>[펌]투시 - 상자에 기대어 있는 기울어진 상자</x:v>
      </x:c>
      <x:c r="F211" s="112" t="str">
        <x:v>웹툰작법</x:v>
      </x:c>
      <x:c r="G211" s="112" t="str">
        <x:v>웹툰 참고</x:v>
      </x:c>
      <x:c r="H211" s="112" t="str">
        <x:v>캐릭터·전개</x:v>
      </x:c>
      <x:c r="I211" s="112" t="n">
        <x:v>1</x:v>
      </x:c>
      <x:c r="J211" s="112" t="str">
        <x:v>빌런</x:v>
      </x:c>
      <x:c r="K211" s="112" t="str">
        <x:v>재게시</x:v>
      </x:c>
      <x:c r="L211" s="112" t="str">
        <x:v>높음</x:v>
      </x:c>
      <x:c r="M211" s="112" t="str">
        <x:v>제목의 펌/퍼옴 표시</x:v>
      </x:c>
      <x:c r="N211" s="116" t="str">
        <x:v>https://gall.dcinside.com/mgallery/board/view/?id=drawing&amp;no=92903&amp;_rk=tDL&amp;search_pos=-93773&amp;s_type=search_name&amp;s_keyword=%E3%85%81%E3%84%B4%E3%85%87%E3%84%B9&amp;page=1</x:v>
      </x:c>
      <x:c r="O211" s="116" t="str">
        <x:v>https://m.blog.naver.com/sntu2010/222128138436</x:v>
      </x:c>
      <x:c r="P211" s="112" t="str">
        <x:v>아니오</x:v>
      </x:c>
      <x:c r="Q211" s="113" t="str">
        <x:v>자동 분류·표본 검토 대상</x:v>
      </x:c>
    </x:row>
    <x:row r="212">
      <x:c r="A212" s="100" t="n">
        <x:v>211</x:v>
      </x:c>
      <x:c r="B212" s="101" t="n">
        <x:v>44131</x:v>
      </x:c>
      <x:c r="C212" s="102" t="n">
        <x:v>2020</x:v>
      </x:c>
      <x:c r="D212" s="103" t="str">
        <x:v>ID-222128135567</x:v>
      </x:c>
      <x:c r="E212" s="112" t="str">
        <x:v>[펌]투시 - 곡면투시</x:v>
      </x:c>
      <x:c r="F212" s="112" t="str">
        <x:v>웹툰작법</x:v>
      </x:c>
      <x:c r="G212" s="112" t="str">
        <x:v>웹툰 참고</x:v>
      </x:c>
      <x:c r="H212" s="112" t="str">
        <x:v>작법·상업성</x:v>
      </x:c>
      <x:c r="I212" s="112" t="n">
        <x:v>1</x:v>
      </x:c>
      <x:c r="J212" s="112" t="str">
        <x:v>작법</x:v>
      </x:c>
      <x:c r="K212" s="112" t="str">
        <x:v>재게시</x:v>
      </x:c>
      <x:c r="L212" s="112" t="str">
        <x:v>높음</x:v>
      </x:c>
      <x:c r="M212" s="112" t="str">
        <x:v>제목의 펌/퍼옴 표시</x:v>
      </x:c>
      <x:c r="N212" s="116" t="str">
        <x:v>https://gall.dcinside.com/mgallery/board/view/?id=drawing&amp;no=69457&amp;_rk=eYK&amp;search_pos=-73773&amp;s_type=search_name&amp;s_keyword=%E3%85%81%E3%84%B4%E3%85%87%E3%84%B9&amp;page=1</x:v>
      </x:c>
      <x:c r="O212" s="116" t="str">
        <x:v>https://m.blog.naver.com/sntu2010/222128135567</x:v>
      </x:c>
      <x:c r="P212" s="112" t="str">
        <x:v>아니오</x:v>
      </x:c>
      <x:c r="Q212" s="113" t="str">
        <x:v>자동 분류·표본 검토 대상</x:v>
      </x:c>
    </x:row>
    <x:row r="213">
      <x:c r="A213" s="100" t="n">
        <x:v>212</x:v>
      </x:c>
      <x:c r="B213" s="101" t="n">
        <x:v>44131</x:v>
      </x:c>
      <x:c r="C213" s="102" t="n">
        <x:v>2020</x:v>
      </x:c>
      <x:c r="D213" s="103" t="str">
        <x:v>ID-222128133869</x:v>
      </x:c>
      <x:c r="E213" s="112" t="str">
        <x:v>[펌]투시 - 쉐이딩 상자를 그려봅시다</x:v>
      </x:c>
      <x:c r="F213" s="112" t="str">
        <x:v>웹툰작법</x:v>
      </x:c>
      <x:c r="G213" s="112" t="str">
        <x:v>웹툰 참고</x:v>
      </x:c>
      <x:c r="H213" s="112" t="str">
        <x:v>작법·상업성</x:v>
      </x:c>
      <x:c r="I213" s="112" t="n">
        <x:v>5</x:v>
      </x:c>
      <x:c r="J213" s="112" t="str">
        <x:v>설정, 작법</x:v>
      </x:c>
      <x:c r="K213" s="112" t="str">
        <x:v>재게시</x:v>
      </x:c>
      <x:c r="L213" s="112" t="str">
        <x:v>높음</x:v>
      </x:c>
      <x:c r="M213" s="112" t="str">
        <x:v>제목의 펌/퍼옴 표시</x:v>
      </x:c>
      <x:c r="N213" s="116" t="str">
        <x:v>https://gall.dcinside.com/mgallery/board/view/?id=drawing&amp;no=67614&amp;_rk=96k&amp;search_pos=-73773&amp;s_type=search_name&amp;s_keyword=%E3%85%81%E3%84%B4%E3%85%87%E3%84%B9&amp;page=1</x:v>
      </x:c>
      <x:c r="O213" s="116" t="str">
        <x:v>https://m.blog.naver.com/sntu2010/222128133869</x:v>
      </x:c>
      <x:c r="P213" s="112" t="str">
        <x:v>아니오</x:v>
      </x:c>
      <x:c r="Q213" s="113" t="str">
        <x:v>자동 분류·표본 검토 대상</x:v>
      </x:c>
    </x:row>
    <x:row r="214">
      <x:c r="A214" s="100" t="n">
        <x:v>213</x:v>
      </x:c>
      <x:c r="B214" s="101" t="n">
        <x:v>44131</x:v>
      </x:c>
      <x:c r="C214" s="102" t="n">
        <x:v>2020</x:v>
      </x:c>
      <x:c r="D214" s="103" t="str">
        <x:v>ID-222128110255</x:v>
      </x:c>
      <x:c r="E214" s="112" t="str">
        <x:v>[펌]투시 - 평면도를 투시도로 옮겨보자</x:v>
      </x:c>
      <x:c r="F214" s="112" t="str">
        <x:v>웹툰작법</x:v>
      </x:c>
      <x:c r="G214" s="112" t="str">
        <x:v>웹툰 참고</x:v>
      </x:c>
      <x:c r="H214" s="112" t="str">
        <x:v>작법·상업성</x:v>
      </x:c>
      <x:c r="I214" s="112" t="n">
        <x:v>1</x:v>
      </x:c>
      <x:c r="J214" s="112" t="str">
        <x:v>작법</x:v>
      </x:c>
      <x:c r="K214" s="112" t="str">
        <x:v>재게시</x:v>
      </x:c>
      <x:c r="L214" s="112" t="str">
        <x:v>높음</x:v>
      </x:c>
      <x:c r="M214" s="112" t="str">
        <x:v>제목의 펌/퍼옴 표시</x:v>
      </x:c>
      <x:c r="N214" s="116" t="str">
        <x:v>https://gall.dcinside.com/mgallery/board/view/?id=drawing&amp;no=62563&amp;_rk=tDL&amp;search_pos=-63773&amp;s_type=search_name&amp;s_keyword=%E3%85%81%E3%84%B4%E3%85%87%E3%84%B9&amp;page=1</x:v>
      </x:c>
      <x:c r="O214" s="116" t="str">
        <x:v>https://m.blog.naver.com/sntu2010/222128110255</x:v>
      </x:c>
      <x:c r="P214" s="112" t="str">
        <x:v>아니오</x:v>
      </x:c>
      <x:c r="Q214" s="113" t="str">
        <x:v>자동 분류·표본 검토 대상</x:v>
      </x:c>
    </x:row>
    <x:row r="215">
      <x:c r="A215" s="100" t="n">
        <x:v>214</x:v>
      </x:c>
      <x:c r="B215" s="101" t="n">
        <x:v>44131</x:v>
      </x:c>
      <x:c r="C215" s="102" t="n">
        <x:v>2020</x:v>
      </x:c>
      <x:c r="D215" s="103" t="str">
        <x:v>ID-222128100651</x:v>
      </x:c>
      <x:c r="E215" s="112" t="str">
        <x:v>[펌]그림 - 라이팅 전략</x:v>
      </x:c>
      <x:c r="F215" s="112" t="str">
        <x:v>웹툰작법</x:v>
      </x:c>
      <x:c r="G215" s="112" t="str">
        <x:v>웹툰 참고</x:v>
      </x:c>
      <x:c r="H215" s="112" t="str">
        <x:v>작법·상업성</x:v>
      </x:c>
      <x:c r="I215" s="112" t="n">
        <x:v>1</x:v>
      </x:c>
      <x:c r="J215" s="112" t="str">
        <x:v>작법</x:v>
      </x:c>
      <x:c r="K215" s="112" t="str">
        <x:v>재게시</x:v>
      </x:c>
      <x:c r="L215" s="112" t="str">
        <x:v>높음</x:v>
      </x:c>
      <x:c r="M215" s="112" t="str">
        <x:v>제목의 펌/퍼옴 표시</x:v>
      </x:c>
      <x:c r="N215" s="116" t="str">
        <x:v>https://gall.dcinside.com/mgallery/board/view/?id=drawing&amp;no=61843&amp;_rk=tDL&amp;search_pos=-63773&amp;s_type=search_name&amp;s_keyword=%E3%85%81%E3%84%B4%E3%85%87%E3%84%B9&amp;page=1</x:v>
      </x:c>
      <x:c r="O215" s="116" t="str">
        <x:v>https://m.blog.naver.com/sntu2010/222128100651</x:v>
      </x:c>
      <x:c r="P215" s="112" t="str">
        <x:v>아니오</x:v>
      </x:c>
      <x:c r="Q215" s="113" t="str">
        <x:v>자동 분류·표본 검토 대상</x:v>
      </x:c>
    </x:row>
    <x:row r="216">
      <x:c r="A216" s="100" t="n">
        <x:v>215</x:v>
      </x:c>
      <x:c r="B216" s="101" t="n">
        <x:v>44131</x:v>
      </x:c>
      <x:c r="C216" s="102" t="n">
        <x:v>2020</x:v>
      </x:c>
      <x:c r="D216" s="103" t="str">
        <x:v>ID-222128098114</x:v>
      </x:c>
      <x:c r="E216" s="112" t="str">
        <x:v>[펌]투시 - 기본 원리</x:v>
      </x:c>
      <x:c r="F216" s="112" t="str">
        <x:v>웹툰작법</x:v>
      </x:c>
      <x:c r="G216" s="112" t="str">
        <x:v>웹툰 참고</x:v>
      </x:c>
      <x:c r="H216" s="112" t="str">
        <x:v>작법·상업성</x:v>
      </x:c>
      <x:c r="I216" s="112" t="n">
        <x:v>1</x:v>
      </x:c>
      <x:c r="J216" s="112" t="str">
        <x:v>작법</x:v>
      </x:c>
      <x:c r="K216" s="112" t="str">
        <x:v>재게시</x:v>
      </x:c>
      <x:c r="L216" s="112" t="str">
        <x:v>높음</x:v>
      </x:c>
      <x:c r="M216" s="112" t="str">
        <x:v>제목의 펌/퍼옴 표시</x:v>
      </x:c>
      <x:c r="N216" s="116" t="str">
        <x:v>https://gall.dcinside.com/mgallery/board/view/?id=drawing&amp;no=61742&amp;_rk=CFQ&amp;search_pos=-63773&amp;s_type=search_name&amp;s_keyword=%E3%85%81%E3%84%B4%E3%85%87%E3%84%B9&amp;page=1</x:v>
      </x:c>
      <x:c r="O216" s="116" t="str">
        <x:v>https://m.blog.naver.com/sntu2010/222128098114</x:v>
      </x:c>
      <x:c r="P216" s="112" t="str">
        <x:v>아니오</x:v>
      </x:c>
      <x:c r="Q216" s="113" t="str">
        <x:v>자동 분류·표본 검토 대상</x:v>
      </x:c>
    </x:row>
    <x:row r="217">
      <x:c r="A217" s="100" t="n">
        <x:v>216</x:v>
      </x:c>
      <x:c r="B217" s="101" t="n">
        <x:v>44131</x:v>
      </x:c>
      <x:c r="C217" s="102" t="n">
        <x:v>2020</x:v>
      </x:c>
      <x:c r="D217" s="103" t="str">
        <x:v>ID-222128080314</x:v>
      </x:c>
      <x:c r="E217" s="112" t="str">
        <x:v>[펌]투시 - 길을 그려보자</x:v>
      </x:c>
      <x:c r="F217" s="112" t="str">
        <x:v>웹툰작법</x:v>
      </x:c>
      <x:c r="G217" s="112" t="str">
        <x:v>웹툰 참고</x:v>
      </x:c>
      <x:c r="H217" s="112" t="str">
        <x:v>캐릭터·전개</x:v>
      </x:c>
      <x:c r="I217" s="112" t="n">
        <x:v>1</x:v>
      </x:c>
      <x:c r="J217" s="112" t="str">
        <x:v>빌런</x:v>
      </x:c>
      <x:c r="K217" s="112" t="str">
        <x:v>재게시</x:v>
      </x:c>
      <x:c r="L217" s="112" t="str">
        <x:v>높음</x:v>
      </x:c>
      <x:c r="M217" s="112" t="str">
        <x:v>제목의 펌/퍼옴 표시</x:v>
      </x:c>
      <x:c r="N217" s="116" t="str">
        <x:v>https://gall.dcinside.com/mgallery/board/view/?id=drawing&amp;no=61013&amp;_rk=tDL&amp;search_pos=-63773&amp;s_type=search_name&amp;s_keyword=%E3%85%81%E3%84%B4%E3%85%87%E3%84%B9&amp;page=1</x:v>
      </x:c>
      <x:c r="O217" s="116" t="str">
        <x:v>https://m.blog.naver.com/sntu2010/222128080314</x:v>
      </x:c>
      <x:c r="P217" s="112" t="str">
        <x:v>아니오</x:v>
      </x:c>
      <x:c r="Q217" s="113" t="str">
        <x:v>자동 분류·표본 검토 대상</x:v>
      </x:c>
    </x:row>
    <x:row r="218">
      <x:c r="A218" s="100" t="n">
        <x:v>217</x:v>
      </x:c>
      <x:c r="B218" s="101" t="n">
        <x:v>44131</x:v>
      </x:c>
      <x:c r="C218" s="102" t="n">
        <x:v>2020</x:v>
      </x:c>
      <x:c r="D218" s="103" t="str">
        <x:v>ID-222128075193</x:v>
      </x:c>
      <x:c r="E218" s="112" t="str">
        <x:v>[펌]투시 - 원기둥을 그려보자</x:v>
      </x:c>
      <x:c r="F218" s="112" t="str">
        <x:v>웹툰작법</x:v>
      </x:c>
      <x:c r="G218" s="112" t="str">
        <x:v>웹툰 참고</x:v>
      </x:c>
      <x:c r="H218" s="112" t="str">
        <x:v>캐릭터·전개</x:v>
      </x:c>
      <x:c r="I218" s="112" t="n">
        <x:v>2</x:v>
      </x:c>
      <x:c r="J218" s="112" t="str">
        <x:v>빌런, 관계</x:v>
      </x:c>
      <x:c r="K218" s="112" t="str">
        <x:v>재게시</x:v>
      </x:c>
      <x:c r="L218" s="112" t="str">
        <x:v>높음</x:v>
      </x:c>
      <x:c r="M218" s="112" t="str">
        <x:v>제목의 펌/퍼옴 표시</x:v>
      </x:c>
      <x:c r="N218" s="116" t="str">
        <x:v>https://gall.dcinside.com/mgallery/board/view/?id=drawing&amp;no=60175&amp;_rk=EYz&amp;search_pos=-63773&amp;s_type=search_name&amp;s_keyword=%E3%85%81%E3%84%B4%E3%85%87%E3%84%B9&amp;page=1</x:v>
      </x:c>
      <x:c r="O218" s="116" t="str">
        <x:v>https://m.blog.naver.com/sntu2010/222128075193</x:v>
      </x:c>
      <x:c r="P218" s="112" t="str">
        <x:v>아니오</x:v>
      </x:c>
      <x:c r="Q218" s="113" t="str">
        <x:v>자동 분류·표본 검토 대상</x:v>
      </x:c>
    </x:row>
    <x:row r="219">
      <x:c r="A219" s="100" t="n">
        <x:v>218</x:v>
      </x:c>
      <x:c r="B219" s="101" t="n">
        <x:v>44131</x:v>
      </x:c>
      <x:c r="C219" s="102" t="n">
        <x:v>2020</x:v>
      </x:c>
      <x:c r="D219" s="103" t="str">
        <x:v>ID-222128063465</x:v>
      </x:c>
      <x:c r="E219" s="112" t="str">
        <x:v>[펌]투시 - 상자를 회전시켜보자 1~2부</x:v>
      </x:c>
      <x:c r="F219" s="112" t="str">
        <x:v>웹툰작법</x:v>
      </x:c>
      <x:c r="G219" s="112" t="str">
        <x:v>웹툰 참고</x:v>
      </x:c>
      <x:c r="H219" s="112" t="str">
        <x:v>작법·상업성</x:v>
      </x:c>
      <x:c r="I219" s="112" t="n">
        <x:v>1</x:v>
      </x:c>
      <x:c r="J219" s="112" t="str">
        <x:v>작법</x:v>
      </x:c>
      <x:c r="K219" s="112" t="str">
        <x:v>재게시</x:v>
      </x:c>
      <x:c r="L219" s="112" t="str">
        <x:v>높음</x:v>
      </x:c>
      <x:c r="M219" s="112" t="str">
        <x:v>제목의 펌/퍼옴 표시</x:v>
      </x:c>
      <x:c r="N219" s="116" t="str">
        <x:v>https://gall.dcinside.com/mgallery/board/view/?id=drawing&amp;no=59954&amp;_rk=96k&amp;search_pos=-63773&amp;s_type=search_name&amp;s_keyword=%E3%85%81%E3%84%B4%E3%85%87%E3%84%B9&amp;page=1</x:v>
      </x:c>
      <x:c r="O219" s="116" t="str">
        <x:v>https://m.blog.naver.com/sntu2010/222128063465</x:v>
      </x:c>
      <x:c r="P219" s="112" t="str">
        <x:v>아니오</x:v>
      </x:c>
      <x:c r="Q219" s="113" t="str">
        <x:v>자동 분류·표본 검토 대상</x:v>
      </x:c>
    </x:row>
    <x:row r="220">
      <x:c r="A220" s="100" t="n">
        <x:v>219</x:v>
      </x:c>
      <x:c r="B220" s="101" t="n">
        <x:v>44131</x:v>
      </x:c>
      <x:c r="C220" s="102" t="n">
        <x:v>2020</x:v>
      </x:c>
      <x:c r="D220" s="103" t="str">
        <x:v>ID-222128032945</x:v>
      </x:c>
      <x:c r="E220" s="112" t="str">
        <x:v>[펌]간단한 글레이징 채색 가이드</x:v>
      </x:c>
      <x:c r="F220" s="112" t="str">
        <x:v>웹툰작법</x:v>
      </x:c>
      <x:c r="G220" s="112" t="str">
        <x:v>웹툰 참고</x:v>
      </x:c>
      <x:c r="H220" s="112" t="str">
        <x:v>작법·상업성</x:v>
      </x:c>
      <x:c r="I220" s="112" t="n">
        <x:v>3</x:v>
      </x:c>
      <x:c r="J220" s="112" t="str">
        <x:v>설정, 묘사, 작법</x:v>
      </x:c>
      <x:c r="K220" s="112" t="str">
        <x:v>재게시</x:v>
      </x:c>
      <x:c r="L220" s="112" t="str">
        <x:v>높음</x:v>
      </x:c>
      <x:c r="M220" s="112" t="str">
        <x:v>제목의 펌/퍼옴 표시</x:v>
      </x:c>
      <x:c r="N220" s="116" t="str">
        <x:v>https://gall.dcinside.com/mgallery/board/view/?id=drawing&amp;no=97234&amp;_rk=96k&amp;exception_mode=recommend&amp;search_head=110&amp;page=1</x:v>
      </x:c>
      <x:c r="O220" s="116" t="str">
        <x:v>https://m.blog.naver.com/sntu2010/222128032945</x:v>
      </x:c>
      <x:c r="P220" s="112" t="str">
        <x:v>아니오</x:v>
      </x:c>
      <x:c r="Q220" s="113" t="str">
        <x:v>자동 분류·표본 검토 대상</x:v>
      </x:c>
    </x:row>
    <x:row r="221">
      <x:c r="A221" s="100" t="n">
        <x:v>220</x:v>
      </x:c>
      <x:c r="B221" s="101" t="n">
        <x:v>44131</x:v>
      </x:c>
      <x:c r="C221" s="102" t="n">
        <x:v>2020</x:v>
      </x:c>
      <x:c r="D221" s="103" t="str">
        <x:v>ID-222128028908</x:v>
      </x:c>
      <x:c r="E221" s="112" t="str">
        <x:v>[펌]자동차 사진으로 알려주는 색채학</x:v>
      </x:c>
      <x:c r="F221" s="112" t="str">
        <x:v>웹툰작법</x:v>
      </x:c>
      <x:c r="G221" s="112" t="str">
        <x:v>웹툰 참고</x:v>
      </x:c>
      <x:c r="H221" s="112" t="str">
        <x:v>작법·상업성</x:v>
      </x:c>
      <x:c r="I221" s="112" t="n">
        <x:v>1</x:v>
      </x:c>
      <x:c r="J221" s="112" t="str">
        <x:v>작법</x:v>
      </x:c>
      <x:c r="K221" s="112" t="str">
        <x:v>재게시</x:v>
      </x:c>
      <x:c r="L221" s="112" t="str">
        <x:v>높음</x:v>
      </x:c>
      <x:c r="M221" s="112" t="str">
        <x:v>제목의 펌/퍼옴 표시</x:v>
      </x:c>
      <x:c r="N221" s="116" t="str">
        <x:v>https://gall.dcinside.com/mgallery/board/view/?id=drawing&amp;no=106235&amp;_rk=EYz&amp;exception_mode=recommend&amp;search_head=110&amp;page=1</x:v>
      </x:c>
      <x:c r="O221" s="116" t="str">
        <x:v>https://m.blog.naver.com/sntu2010/222128028908</x:v>
      </x:c>
      <x:c r="P221" s="112" t="str">
        <x:v>아니오</x:v>
      </x:c>
      <x:c r="Q221" s="113" t="str">
        <x:v>자동 분류·표본 검토 대상</x:v>
      </x:c>
    </x:row>
    <x:row r="222">
      <x:c r="A222" s="100" t="n">
        <x:v>221</x:v>
      </x:c>
      <x:c r="B222" s="101" t="n">
        <x:v>44131</x:v>
      </x:c>
      <x:c r="C222" s="102" t="n">
        <x:v>2020</x:v>
      </x:c>
      <x:c r="D222" s="103" t="str">
        <x:v>ID-222128022150</x:v>
      </x:c>
      <x:c r="E222" s="112" t="str">
        <x:v>[펌]아칼리 라이트 컬러링 채색 튜토리얼</x:v>
      </x:c>
      <x:c r="F222" s="112" t="str">
        <x:v>웹툰작법</x:v>
      </x:c>
      <x:c r="G222" s="112" t="str">
        <x:v>웹툰 참고</x:v>
      </x:c>
      <x:c r="H222" s="112" t="str">
        <x:v>작법·상업성</x:v>
      </x:c>
      <x:c r="I222" s="112" t="n">
        <x:v>1</x:v>
      </x:c>
      <x:c r="J222" s="112" t="str">
        <x:v>작법</x:v>
      </x:c>
      <x:c r="K222" s="112" t="str">
        <x:v>재게시</x:v>
      </x:c>
      <x:c r="L222" s="112" t="str">
        <x:v>높음</x:v>
      </x:c>
      <x:c r="M222" s="112" t="str">
        <x:v>제목의 펌/퍼옴 표시</x:v>
      </x:c>
      <x:c r="N222" s="116" t="str">
        <x:v>https://gall.dcinside.com/mgallery/board/view/?id=drawing&amp;no=101292&amp;_rk=CFQ&amp;exception_mode=recommend&amp;search_head=110&amp;page=1</x:v>
      </x:c>
      <x:c r="O222" s="116" t="str">
        <x:v>https://m.blog.naver.com/sntu2010/222128022150</x:v>
      </x:c>
      <x:c r="P222" s="112" t="str">
        <x:v>아니오</x:v>
      </x:c>
      <x:c r="Q222" s="113" t="str">
        <x:v>자동 분류·표본 검토 대상</x:v>
      </x:c>
    </x:row>
    <x:row r="223">
      <x:c r="A223" s="100" t="n">
        <x:v>222</x:v>
      </x:c>
      <x:c r="B223" s="101" t="n">
        <x:v>44131</x:v>
      </x:c>
      <x:c r="C223" s="102" t="n">
        <x:v>2020</x:v>
      </x:c>
      <x:c r="D223" s="103" t="str">
        <x:v>ID-222128019268</x:v>
      </x:c>
      <x:c r="E223" s="112" t="str">
        <x:v>[펌]관찰부터 그림까지의 과정에 대한 이야기</x:v>
      </x:c>
      <x:c r="F223" s="112" t="str">
        <x:v>웹툰작법</x:v>
      </x:c>
      <x:c r="G223" s="112" t="str">
        <x:v>웹툰 참고</x:v>
      </x:c>
      <x:c r="H223" s="112" t="str">
        <x:v>작법·상업성</x:v>
      </x:c>
      <x:c r="I223" s="112" t="n">
        <x:v>1</x:v>
      </x:c>
      <x:c r="J223" s="112" t="str">
        <x:v>작법</x:v>
      </x:c>
      <x:c r="K223" s="112" t="str">
        <x:v>재게시</x:v>
      </x:c>
      <x:c r="L223" s="112" t="str">
        <x:v>높음</x:v>
      </x:c>
      <x:c r="M223" s="112" t="str">
        <x:v>제목의 펌/퍼옴 표시</x:v>
      </x:c>
      <x:c r="N223" s="116" t="str">
        <x:v>https://gall.dcinside.com/mgallery/board/view/?id=drawing&amp;no=99127&amp;_rk=eYK&amp;exception_mode=recommend&amp;search_head=110&amp;page=1</x:v>
      </x:c>
      <x:c r="O223" s="116" t="str">
        <x:v>https://m.blog.naver.com/sntu2010/222128019268</x:v>
      </x:c>
      <x:c r="P223" s="112" t="str">
        <x:v>아니오</x:v>
      </x:c>
      <x:c r="Q223" s="113" t="str">
        <x:v>자동 분류·표본 검토 대상</x:v>
      </x:c>
    </x:row>
    <x:row r="224">
      <x:c r="A224" s="100" t="n">
        <x:v>223</x:v>
      </x:c>
      <x:c r="B224" s="101" t="n">
        <x:v>44131</x:v>
      </x:c>
      <x:c r="C224" s="102" t="n">
        <x:v>2020</x:v>
      </x:c>
      <x:c r="D224" s="103" t="str">
        <x:v>ID-222128016239</x:v>
      </x:c>
      <x:c r="E224" s="112" t="str">
        <x:v>[펌]그림 그리기전에 해야될것 1~3부</x:v>
      </x:c>
      <x:c r="F224" s="112" t="str">
        <x:v>웹툰작법</x:v>
      </x:c>
      <x:c r="G224" s="112" t="str">
        <x:v>웹툰 참고</x:v>
      </x:c>
      <x:c r="H224" s="112" t="str">
        <x:v>작법·상업성</x:v>
      </x:c>
      <x:c r="I224" s="112" t="n">
        <x:v>1</x:v>
      </x:c>
      <x:c r="J224" s="112" t="str">
        <x:v>작법</x:v>
      </x:c>
      <x:c r="K224" s="112" t="str">
        <x:v>재게시</x:v>
      </x:c>
      <x:c r="L224" s="112" t="str">
        <x:v>높음</x:v>
      </x:c>
      <x:c r="M224" s="112" t="str">
        <x:v>제목의 펌/퍼옴 표시</x:v>
      </x:c>
      <x:c r="N224" s="116" t="str">
        <x:v>https://gall.dcinside.com/mgallery/board/view/?id=drawing&amp;no=97036&amp;_rk=JRL&amp;exception_mode=recommend&amp;search_head=110&amp;page=1</x:v>
      </x:c>
      <x:c r="O224" s="116" t="str">
        <x:v>https://m.blog.naver.com/sntu2010/222128016239</x:v>
      </x:c>
      <x:c r="P224" s="112" t="str">
        <x:v>아니오</x:v>
      </x:c>
      <x:c r="Q224" s="113" t="str">
        <x:v>자동 분류·표본 검토 대상</x:v>
      </x:c>
    </x:row>
    <x:row r="225">
      <x:c r="A225" s="100" t="n">
        <x:v>224</x:v>
      </x:c>
      <x:c r="B225" s="101" t="n">
        <x:v>44130</x:v>
      </x:c>
      <x:c r="C225" s="102" t="n">
        <x:v>2020</x:v>
      </x:c>
      <x:c r="D225" s="103" t="str">
        <x:v>ID-222127540867</x:v>
      </x:c>
      <x:c r="E225" s="112" t="str">
        <x:v>웹소설을 잘 쓰려면 메타인지가 필요하다</x:v>
      </x:c>
      <x:c r="F225" s="112" t="str">
        <x:v>웹소생각</x:v>
      </x:c>
      <x:c r="G225" s="112" t="str">
        <x:v>웹소설 직접</x:v>
      </x:c>
      <x:c r="H225" s="112" t="str">
        <x:v>플랫폼·투고·계약</x:v>
      </x:c>
      <x:c r="I225" s="112" t="n">
        <x:v>1</x:v>
      </x:c>
      <x:c r="J225" s="112" t="str">
        <x:v>네이버</x:v>
      </x:c>
      <x:c r="K225" s="112" t="str">
        <x:v>본인 경험담 추정</x:v>
      </x:c>
      <x:c r="L225" s="112" t="str">
        <x:v>중간</x:v>
      </x:c>
      <x:c r="M225" s="112" t="str">
        <x:v>1인칭 경험·작품·계약 표현</x:v>
      </x:c>
      <x:c r="N225" s="116" t="str"/>
      <x:c r="O225" s="116" t="str">
        <x:v>https://m.blog.naver.com/sntu2010/222127540867</x:v>
      </x:c>
      <x:c r="P225" s="112" t="str">
        <x:v>아니오</x:v>
      </x:c>
      <x:c r="Q225" s="113" t="str">
        <x:v>수동 검토 필요</x:v>
      </x:c>
    </x:row>
    <x:row r="226">
      <x:c r="A226" s="100" t="n">
        <x:v>225</x:v>
      </x:c>
      <x:c r="B226" s="101" t="n">
        <x:v>44129</x:v>
      </x:c>
      <x:c r="C226" s="102" t="n">
        <x:v>2020</x:v>
      </x:c>
      <x:c r="D226" s="103" t="str">
        <x:v>ID-222126473233</x:v>
      </x:c>
      <x:c r="E226" s="112" t="str">
        <x:v>글 쓰는 것이 극도로 스트레스 받을 때</x:v>
      </x:c>
      <x:c r="F226" s="112" t="str">
        <x:v>웹소생각</x:v>
      </x:c>
      <x:c r="G226" s="112" t="str">
        <x:v>웹소설 직접</x:v>
      </x:c>
      <x:c r="H226" s="112" t="str">
        <x:v>작법·상업성</x:v>
      </x:c>
      <x:c r="I226" s="112" t="n">
        <x:v>2</x:v>
      </x:c>
      <x:c r="J226" s="112" t="str">
        <x:v>재미, 독자</x:v>
      </x:c>
      <x:c r="K226" s="112" t="str">
        <x:v>본인 작성/의견 추정</x:v>
      </x:c>
      <x:c r="L226" s="112" t="str">
        <x:v>낮음</x:v>
      </x:c>
      <x:c r="M226" s="112" t="str">
        <x:v>재게시 표시는 없으나 저자성 직접 증거 부족</x:v>
      </x:c>
      <x:c r="N226" s="116" t="str"/>
      <x:c r="O226" s="116" t="str">
        <x:v>https://m.blog.naver.com/sntu2010/222126473233</x:v>
      </x:c>
      <x:c r="P226" s="112" t="str">
        <x:v>아니오</x:v>
      </x:c>
      <x:c r="Q226" s="113" t="str">
        <x:v>수동 검토 필요</x:v>
      </x:c>
    </x:row>
    <x:row r="227">
      <x:c r="A227" s="100" t="n">
        <x:v>226</x:v>
      </x:c>
      <x:c r="B227" s="101" t="n">
        <x:v>44124</x:v>
      </x:c>
      <x:c r="C227" s="102" t="n">
        <x:v>2020</x:v>
      </x:c>
      <x:c r="D227" s="103" t="str">
        <x:v>ID-222121454942</x:v>
      </x:c>
      <x:c r="E227" s="112" t="str">
        <x:v>[펌]하꼬가 올리는 슬럼프 극복 미세먼지 팁</x:v>
      </x:c>
      <x:c r="F227" s="112" t="str">
        <x:v>웹소작법</x:v>
      </x:c>
      <x:c r="G227" s="112" t="str">
        <x:v>웹소설 직접</x:v>
      </x:c>
      <x:c r="H227" s="112" t="str">
        <x:v>작법·상업성</x:v>
      </x:c>
      <x:c r="I227" s="112" t="n">
        <x:v>3</x:v>
      </x:c>
      <x:c r="J227" s="112" t="str">
        <x:v>글쓰기, 설정, 작법</x:v>
      </x:c>
      <x:c r="K227" s="112" t="str">
        <x:v>재게시</x:v>
      </x:c>
      <x:c r="L227" s="112" t="str">
        <x:v>높음</x:v>
      </x:c>
      <x:c r="M227" s="112" t="str">
        <x:v>제목의 펌/퍼옴 표시</x:v>
      </x:c>
      <x:c r="N227" s="116" t="str">
        <x:v>https://gall.dcinside.com/mgallery/board/view/?id=tgijjdd&amp;no=396365&amp;_rk=EYz&amp;exception_mode=recommend&amp;page=1</x:v>
      </x:c>
      <x:c r="O227" s="116" t="str">
        <x:v>https://m.blog.naver.com/sntu2010/222121454942</x:v>
      </x:c>
      <x:c r="P227" s="112" t="str">
        <x:v>아니오</x:v>
      </x:c>
      <x:c r="Q227" s="113" t="str">
        <x:v>자동 분류·표본 검토 대상</x:v>
      </x:c>
    </x:row>
    <x:row r="228">
      <x:c r="A228" s="100" t="n">
        <x:v>227</x:v>
      </x:c>
      <x:c r="B228" s="101" t="n">
        <x:v>44114</x:v>
      </x:c>
      <x:c r="C228" s="102" t="n">
        <x:v>2020</x:v>
      </x:c>
      <x:c r="D228" s="103" t="str">
        <x:v>ID-222112001062</x:v>
      </x:c>
      <x:c r="E228" s="112" t="str">
        <x:v>[펌]전투씬 관련 개뻘팁(노쓰우드작가님)</x:v>
      </x:c>
      <x:c r="F228" s="112" t="str">
        <x:v>웹소작법</x:v>
      </x:c>
      <x:c r="G228" s="112" t="str">
        <x:v>웹소설 직접</x:v>
      </x:c>
      <x:c r="H228" s="112" t="str">
        <x:v>작법·상업성</x:v>
      </x:c>
      <x:c r="I228" s="112" t="n">
        <x:v>4</x:v>
      </x:c>
      <x:c r="J228" s="112" t="str">
        <x:v>기대감, 독자, 작법</x:v>
      </x:c>
      <x:c r="K228" s="112" t="str">
        <x:v>재게시</x:v>
      </x:c>
      <x:c r="L228" s="112" t="str">
        <x:v>높음</x:v>
      </x:c>
      <x:c r="M228" s="112" t="str">
        <x:v>제목의 펌/퍼옴 표시</x:v>
      </x:c>
      <x:c r="N228" s="116" t="str">
        <x:v>https://gall.dcinside.com/mgallery/board/view/?id=tgijjdd&amp;no=393237&amp;_rk=eYK&amp;exception_mode=recommend&amp;page=1</x:v>
      </x:c>
      <x:c r="O228" s="116" t="str">
        <x:v>https://m.blog.naver.com/sntu2010/222112001062</x:v>
      </x:c>
      <x:c r="P228" s="112" t="str">
        <x:v>아니오</x:v>
      </x:c>
      <x:c r="Q228" s="113" t="str">
        <x:v>자동 분류·표본 검토 대상</x:v>
      </x:c>
    </x:row>
    <x:row r="229">
      <x:c r="A229" s="100" t="n">
        <x:v>228</x:v>
      </x:c>
      <x:c r="B229" s="101" t="n">
        <x:v>44114</x:v>
      </x:c>
      <x:c r="C229" s="102" t="n">
        <x:v>2020</x:v>
      </x:c>
      <x:c r="D229" s="103" t="str">
        <x:v>ID-222112000595</x:v>
      </x:c>
      <x:c r="E229" s="112" t="str">
        <x:v>[펌]팁은 아니고 그냥 잔소리?(노쓰우드작가님)</x:v>
      </x:c>
      <x:c r="F229" s="112" t="str">
        <x:v>웹소작법</x:v>
      </x:c>
      <x:c r="G229" s="112" t="str">
        <x:v>웹소설 직접</x:v>
      </x:c>
      <x:c r="H229" s="112" t="str">
        <x:v>작법·상업성</x:v>
      </x:c>
      <x:c r="I229" s="112" t="n">
        <x:v>8</x:v>
      </x:c>
      <x:c r="J229" s="112" t="str">
        <x:v>독자, 기대감, 작법</x:v>
      </x:c>
      <x:c r="K229" s="112" t="str">
        <x:v>재게시</x:v>
      </x:c>
      <x:c r="L229" s="112" t="str">
        <x:v>높음</x:v>
      </x:c>
      <x:c r="M229" s="112" t="str">
        <x:v>제목의 펌/퍼옴 표시</x:v>
      </x:c>
      <x:c r="N229" s="116" t="str">
        <x:v>https://gall.dcinside.com/mgallery/board/view/?id=tgijjdd&amp;no=393225&amp;_rk=EYz&amp;exception_mode=recommend&amp;page=1</x:v>
      </x:c>
      <x:c r="O229" s="116" t="str">
        <x:v>https://m.blog.naver.com/sntu2010/222112000595</x:v>
      </x:c>
      <x:c r="P229" s="112" t="str">
        <x:v>예</x:v>
      </x:c>
      <x:c r="Q229" s="113" t="str">
        <x:v>자동 분류·표본 검토 대상</x:v>
      </x:c>
    </x:row>
    <x:row r="230">
      <x:c r="A230" s="100" t="n">
        <x:v>229</x:v>
      </x:c>
      <x:c r="B230" s="101" t="n">
        <x:v>44113</x:v>
      </x:c>
      <x:c r="C230" s="102" t="n">
        <x:v>2020</x:v>
      </x:c>
      <x:c r="D230" s="103" t="str">
        <x:v>ID-222110944114</x:v>
      </x:c>
      <x:c r="E230" s="112" t="str">
        <x:v>[펌]웹소설 써보고 싶을 때 알아둬야할 기초만 짚어줌</x:v>
      </x:c>
      <x:c r="F230" s="112" t="str">
        <x:v>웹소작법</x:v>
      </x:c>
      <x:c r="G230" s="112" t="str">
        <x:v>웹소설 직접</x:v>
      </x:c>
      <x:c r="H230" s="112" t="str">
        <x:v>작법·상업성</x:v>
      </x:c>
      <x:c r="I230" s="112" t="n">
        <x:v>2</x:v>
      </x:c>
      <x:c r="J230" s="112" t="str">
        <x:v>문장, 작법</x:v>
      </x:c>
      <x:c r="K230" s="112" t="str">
        <x:v>재게시</x:v>
      </x:c>
      <x:c r="L230" s="112" t="str">
        <x:v>높음</x:v>
      </x:c>
      <x:c r="M230" s="112" t="str">
        <x:v>제목의 펌/퍼옴 표시</x:v>
      </x:c>
      <x:c r="N230" s="116" t="str">
        <x:v>https://gall.dcinside.com/mgallery/board/view/?id=tgijjdd&amp;no=392833&amp;_rk=tDL&amp;exception_mode=recommend&amp;page=1</x:v>
      </x:c>
      <x:c r="O230" s="116" t="str">
        <x:v>https://m.blog.naver.com/sntu2010/222110944114</x:v>
      </x:c>
      <x:c r="P230" s="112" t="str">
        <x:v>아니오</x:v>
      </x:c>
      <x:c r="Q230" s="113" t="str">
        <x:v>자동 분류·표본 검토 대상</x:v>
      </x:c>
    </x:row>
    <x:row r="231">
      <x:c r="A231" s="100" t="n">
        <x:v>230</x:v>
      </x:c>
      <x:c r="B231" s="101" t="n">
        <x:v>44110</x:v>
      </x:c>
      <x:c r="C231" s="102" t="n">
        <x:v>2020</x:v>
      </x:c>
      <x:c r="D231" s="103" t="str">
        <x:v>ID-222108441303</x:v>
      </x:c>
      <x:c r="E231" s="112" t="str">
        <x:v>[펌]연재판에 뛰어든 신인들에게 말해주고 싶은 말</x:v>
      </x:c>
      <x:c r="F231" s="112" t="str">
        <x:v>웹소작법</x:v>
      </x:c>
      <x:c r="G231" s="112" t="str">
        <x:v>웹소설 직접</x:v>
      </x:c>
      <x:c r="H231" s="112" t="str">
        <x:v>작법·상업성</x:v>
      </x:c>
      <x:c r="I231" s="112" t="n">
        <x:v>8</x:v>
      </x:c>
      <x:c r="J231" s="112" t="str">
        <x:v>독자, 상업, 재미, 소재, 장르, 작법</x:v>
      </x:c>
      <x:c r="K231" s="112" t="str">
        <x:v>재게시</x:v>
      </x:c>
      <x:c r="L231" s="112" t="str">
        <x:v>높음</x:v>
      </x:c>
      <x:c r="M231" s="112" t="str">
        <x:v>제목의 펌/퍼옴 표시</x:v>
      </x:c>
      <x:c r="N231" s="116" t="str">
        <x:v>https://gall.dcinside.com/mgallery/board/view/?id=tgijjdd&amp;no=391604&amp;_rk=96k&amp;exception_mode=recommend&amp;page=1</x:v>
      </x:c>
      <x:c r="O231" s="116" t="str">
        <x:v>https://m.blog.naver.com/sntu2010/222108441303</x:v>
      </x:c>
      <x:c r="P231" s="112" t="str">
        <x:v>예</x:v>
      </x:c>
      <x:c r="Q231" s="113" t="str">
        <x:v>자동 분류·표본 검토 대상</x:v>
      </x:c>
    </x:row>
    <x:row r="232">
      <x:c r="A232" s="100" t="n">
        <x:v>231</x:v>
      </x:c>
      <x:c r="B232" s="101" t="n">
        <x:v>44109</x:v>
      </x:c>
      <x:c r="C232" s="102" t="n">
        <x:v>2020</x:v>
      </x:c>
      <x:c r="D232" s="103" t="str">
        <x:v>ID-222107286579</x:v>
      </x:c>
      <x:c r="E232" s="112" t="str">
        <x:v>웹툰 그리는 방법 (5부) 투시도법과 채색</x:v>
      </x:c>
      <x:c r="F232" s="112" t="str">
        <x:v>웹툰생각</x:v>
      </x:c>
      <x:c r="G232" s="112" t="str">
        <x:v>웹툰 참고</x:v>
      </x:c>
      <x:c r="H232" s="112" t="str">
        <x:v>기타/검토</x:v>
      </x:c>
      <x:c r="I232" s="112" t="n">
        <x:v>0</x:v>
      </x:c>
      <x:c r="J232" s="112" t="str"/>
      <x:c r="K232" s="112" t="str">
        <x:v>본인 경험담 추정</x:v>
      </x:c>
      <x:c r="L232" s="112" t="str">
        <x:v>중간</x:v>
      </x:c>
      <x:c r="M232" s="112" t="str">
        <x:v>1인칭 경험·작품·계약 표현</x:v>
      </x:c>
      <x:c r="N232" s="116" t="str"/>
      <x:c r="O232" s="116" t="str">
        <x:v>https://m.blog.naver.com/sntu2010/222107286579</x:v>
      </x:c>
      <x:c r="P232" s="112" t="str">
        <x:v>아니오</x:v>
      </x:c>
      <x:c r="Q232" s="113" t="str">
        <x:v>수동 검토 필요</x:v>
      </x:c>
    </x:row>
    <x:row r="233">
      <x:c r="A233" s="100" t="n">
        <x:v>232</x:v>
      </x:c>
      <x:c r="B233" s="101" t="n">
        <x:v>44109</x:v>
      </x:c>
      <x:c r="C233" s="102" t="n">
        <x:v>2020</x:v>
      </x:c>
      <x:c r="D233" s="103" t="str">
        <x:v>ID-222107257855</x:v>
      </x:c>
      <x:c r="E233" s="112" t="str">
        <x:v>웹툰 그리는 방법 (4부) 인체 도형화, 크로키, 해부학</x:v>
      </x:c>
      <x:c r="F233" s="112" t="str">
        <x:v>웹툰생각</x:v>
      </x:c>
      <x:c r="G233" s="112" t="str">
        <x:v>웹툰 참고</x:v>
      </x:c>
      <x:c r="H233" s="112" t="str">
        <x:v>기타/검토</x:v>
      </x:c>
      <x:c r="I233" s="112" t="n">
        <x:v>0</x:v>
      </x:c>
      <x:c r="J233" s="112" t="str"/>
      <x:c r="K233" s="112" t="str">
        <x:v>본인 작성/의견 추정</x:v>
      </x:c>
      <x:c r="L233" s="112" t="str">
        <x:v>낮음</x:v>
      </x:c>
      <x:c r="M233" s="112" t="str">
        <x:v>재게시 표시는 없으나 저자성 직접 증거 부족</x:v>
      </x:c>
      <x:c r="N233" s="116" t="str"/>
      <x:c r="O233" s="116" t="str">
        <x:v>https://m.blog.naver.com/sntu2010/222107257855</x:v>
      </x:c>
      <x:c r="P233" s="112" t="str">
        <x:v>아니오</x:v>
      </x:c>
      <x:c r="Q233" s="113" t="str">
        <x:v>수동 검토 필요</x:v>
      </x:c>
    </x:row>
    <x:row r="234">
      <x:c r="A234" s="100" t="n">
        <x:v>233</x:v>
      </x:c>
      <x:c r="B234" s="101" t="n">
        <x:v>44109</x:v>
      </x:c>
      <x:c r="C234" s="102" t="n">
        <x:v>2020</x:v>
      </x:c>
      <x:c r="D234" s="103" t="str">
        <x:v>ID-222107236888</x:v>
      </x:c>
      <x:c r="E234" s="112" t="str">
        <x:v>웹툰 그리는 방법 (3부) 다양한 각도로 얼굴 그리기</x:v>
      </x:c>
      <x:c r="F234" s="112" t="str">
        <x:v>웹툰생각</x:v>
      </x:c>
      <x:c r="G234" s="112" t="str">
        <x:v>웹툰 참고</x:v>
      </x:c>
      <x:c r="H234" s="112" t="str">
        <x:v>작법·상업성</x:v>
      </x:c>
      <x:c r="I234" s="112" t="n">
        <x:v>1</x:v>
      </x:c>
      <x:c r="J234" s="112" t="str">
        <x:v>재미</x:v>
      </x:c>
      <x:c r="K234" s="112" t="str">
        <x:v>본인 작성/의견 추정</x:v>
      </x:c>
      <x:c r="L234" s="112" t="str">
        <x:v>낮음</x:v>
      </x:c>
      <x:c r="M234" s="112" t="str">
        <x:v>재게시 표시는 없으나 저자성 직접 증거 부족</x:v>
      </x:c>
      <x:c r="N234" s="116" t="str"/>
      <x:c r="O234" s="116" t="str">
        <x:v>https://m.blog.naver.com/sntu2010/222107236888</x:v>
      </x:c>
      <x:c r="P234" s="112" t="str">
        <x:v>아니오</x:v>
      </x:c>
      <x:c r="Q234" s="113" t="str">
        <x:v>수동 검토 필요</x:v>
      </x:c>
    </x:row>
    <x:row r="235">
      <x:c r="A235" s="100" t="n">
        <x:v>234</x:v>
      </x:c>
      <x:c r="B235" s="101" t="n">
        <x:v>44102</x:v>
      </x:c>
      <x:c r="C235" s="102" t="n">
        <x:v>2020</x:v>
      </x:c>
      <x:c r="D235" s="103" t="str">
        <x:v>ID-222101969442</x:v>
      </x:c>
      <x:c r="E235" s="112" t="str">
        <x:v>웹툰 그리는 방법 (2부) 기본기 다지는 법</x:v>
      </x:c>
      <x:c r="F235" s="112" t="str">
        <x:v>웹툰생각</x:v>
      </x:c>
      <x:c r="G235" s="112" t="str">
        <x:v>웹툰 참고</x:v>
      </x:c>
      <x:c r="H235" s="112" t="str">
        <x:v>기타/검토</x:v>
      </x:c>
      <x:c r="I235" s="112" t="n">
        <x:v>0</x:v>
      </x:c>
      <x:c r="J235" s="112" t="str"/>
      <x:c r="K235" s="112" t="str">
        <x:v>본인 작성/의견 추정</x:v>
      </x:c>
      <x:c r="L235" s="112" t="str">
        <x:v>낮음</x:v>
      </x:c>
      <x:c r="M235" s="112" t="str">
        <x:v>재게시 표시는 없으나 저자성 직접 증거 부족</x:v>
      </x:c>
      <x:c r="N235" s="116" t="str"/>
      <x:c r="O235" s="116" t="str">
        <x:v>https://m.blog.naver.com/sntu2010/222101969442</x:v>
      </x:c>
      <x:c r="P235" s="112" t="str">
        <x:v>아니오</x:v>
      </x:c>
      <x:c r="Q235" s="113" t="str">
        <x:v>수동 검토 필요</x:v>
      </x:c>
    </x:row>
    <x:row r="236">
      <x:c r="A236" s="100" t="n">
        <x:v>235</x:v>
      </x:c>
      <x:c r="B236" s="101" t="n">
        <x:v>44102</x:v>
      </x:c>
      <x:c r="C236" s="102" t="n">
        <x:v>2020</x:v>
      </x:c>
      <x:c r="D236" s="103" t="str">
        <x:v>ID-222101725715</x:v>
      </x:c>
      <x:c r="E236" s="112" t="str">
        <x:v>웹툰 그리는 방법 (1부) 웹툰 제작 순서</x:v>
      </x:c>
      <x:c r="F236" s="112" t="str">
        <x:v>웹툰생각</x:v>
      </x:c>
      <x:c r="G236" s="112" t="str">
        <x:v>웹툰 참고</x:v>
      </x:c>
      <x:c r="H236" s="112" t="str">
        <x:v>작법·상업성</x:v>
      </x:c>
      <x:c r="I236" s="112" t="n">
        <x:v>7</x:v>
      </x:c>
      <x:c r="J236" s="112" t="str">
        <x:v>장르, 설정, 독자</x:v>
      </x:c>
      <x:c r="K236" s="112" t="str">
        <x:v>본인 작성/의견 추정</x:v>
      </x:c>
      <x:c r="L236" s="112" t="str">
        <x:v>낮음</x:v>
      </x:c>
      <x:c r="M236" s="112" t="str">
        <x:v>재게시 표시는 없으나 저자성 직접 증거 부족</x:v>
      </x:c>
      <x:c r="N236" s="116" t="str"/>
      <x:c r="O236" s="116" t="str">
        <x:v>https://m.blog.naver.com/sntu2010/222101725715</x:v>
      </x:c>
      <x:c r="P236" s="112" t="str">
        <x:v>아니오</x:v>
      </x:c>
      <x:c r="Q236" s="113" t="str">
        <x:v>자동 분류·표본 검토 대상</x:v>
      </x:c>
    </x:row>
    <x:row r="237">
      <x:c r="A237" s="100" t="n">
        <x:v>236</x:v>
      </x:c>
      <x:c r="B237" s="101" t="n">
        <x:v>44100</x:v>
      </x:c>
      <x:c r="C237" s="102" t="n">
        <x:v>2020</x:v>
      </x:c>
      <x:c r="D237" s="103" t="str">
        <x:v>ID-222100533314</x:v>
      </x:c>
      <x:c r="E237" s="112" t="str">
        <x:v>[펌]애니메이션 배경 그리는 과정</x:v>
      </x:c>
      <x:c r="F237" s="112" t="str">
        <x:v>웹툰작법</x:v>
      </x:c>
      <x:c r="G237" s="112" t="str">
        <x:v>웹툰 참고</x:v>
      </x:c>
      <x:c r="H237" s="112" t="str">
        <x:v>작법·상업성</x:v>
      </x:c>
      <x:c r="I237" s="112" t="n">
        <x:v>1</x:v>
      </x:c>
      <x:c r="J237" s="112" t="str">
        <x:v>작법</x:v>
      </x:c>
      <x:c r="K237" s="112" t="str">
        <x:v>재게시</x:v>
      </x:c>
      <x:c r="L237" s="112" t="str">
        <x:v>높음</x:v>
      </x:c>
      <x:c r="M237" s="112" t="str">
        <x:v>제목의 펌/퍼옴 표시</x:v>
      </x:c>
      <x:c r="N237" s="116" t="str">
        <x:v>https://www.instiz.net/pt/2683246</x:v>
      </x:c>
      <x:c r="O237" s="116" t="str">
        <x:v>https://m.blog.naver.com/sntu2010/222100533314</x:v>
      </x:c>
      <x:c r="P237" s="112" t="str">
        <x:v>아니오</x:v>
      </x:c>
      <x:c r="Q237" s="113" t="str">
        <x:v>자동 분류·표본 검토 대상</x:v>
      </x:c>
    </x:row>
    <x:row r="238">
      <x:c r="A238" s="100" t="n">
        <x:v>237</x:v>
      </x:c>
      <x:c r="B238" s="101" t="n">
        <x:v>44097</x:v>
      </x:c>
      <x:c r="C238" s="102" t="n">
        <x:v>2020</x:v>
      </x:c>
      <x:c r="D238" s="103" t="str">
        <x:v>ID-222097839212</x:v>
      </x:c>
      <x:c r="E238" s="112" t="str">
        <x:v>[펌]투베 실전 팁 - 하꼬작가로 살아남는 법</x:v>
      </x:c>
      <x:c r="F238" s="112" t="str">
        <x:v>웹소작법</x:v>
      </x:c>
      <x:c r="G238" s="112" t="str">
        <x:v>웹소설 직접</x:v>
      </x:c>
      <x:c r="H238" s="112" t="str">
        <x:v>초반부/연독률</x:v>
      </x:c>
      <x:c r="I238" s="112" t="n">
        <x:v>5</x:v>
      </x:c>
      <x:c r="J238" s="112" t="str">
        <x:v>초반, 유입, 15화, 연독</x:v>
      </x:c>
      <x:c r="K238" s="112" t="str">
        <x:v>재게시</x:v>
      </x:c>
      <x:c r="L238" s="112" t="str">
        <x:v>높음</x:v>
      </x:c>
      <x:c r="M238" s="112" t="str">
        <x:v>제목의 펌/퍼옴 표시</x:v>
      </x:c>
      <x:c r="N238" s="116" t="str">
        <x:v>https://gall.dcinside.com/mgallery/board/view/?id=tgijjdd&amp;no=385641&amp;_rk=Hc2&amp;exception_mode=recommend&amp;page=1</x:v>
      </x:c>
      <x:c r="O238" s="116" t="str">
        <x:v>https://m.blog.naver.com/sntu2010/222097839212</x:v>
      </x:c>
      <x:c r="P238" s="112" t="str">
        <x:v>아니오</x:v>
      </x:c>
      <x:c r="Q238" s="113" t="str">
        <x:v>자동 분류·표본 검토 대상</x:v>
      </x:c>
    </x:row>
    <x:row r="239">
      <x:c r="A239" s="100" t="n">
        <x:v>238</x:v>
      </x:c>
      <x:c r="B239" s="101" t="n">
        <x:v>44097</x:v>
      </x:c>
      <x:c r="C239" s="102" t="n">
        <x:v>2020</x:v>
      </x:c>
      <x:c r="D239" s="103" t="str">
        <x:v>ID-222097382070</x:v>
      </x:c>
      <x:c r="E239" s="112" t="str">
        <x:v>컨텍이 왔는데 이 매니지와 계약을 맺어도 될까요?</x:v>
      </x:c>
      <x:c r="F239" s="112" t="str">
        <x:v>웹소생각</x:v>
      </x:c>
      <x:c r="G239" s="112" t="str">
        <x:v>웹소설 직접</x:v>
      </x:c>
      <x:c r="H239" s="112" t="str">
        <x:v>플랫폼·투고·계약</x:v>
      </x:c>
      <x:c r="I239" s="112" t="n">
        <x:v>48</x:v>
      </x:c>
      <x:c r="J239" s="112" t="str">
        <x:v>매니지, 계약, 출판사, 조아라</x:v>
      </x:c>
      <x:c r="K239" s="112" t="str">
        <x:v>본인 작성/의견 추정</x:v>
      </x:c>
      <x:c r="L239" s="112" t="str">
        <x:v>낮음</x:v>
      </x:c>
      <x:c r="M239" s="112" t="str">
        <x:v>재게시 표시는 없으나 저자성 직접 증거 부족</x:v>
      </x:c>
      <x:c r="N239" s="116" t="str"/>
      <x:c r="O239" s="116" t="str">
        <x:v>https://m.blog.naver.com/sntu2010/222097382070</x:v>
      </x:c>
      <x:c r="P239" s="112" t="str">
        <x:v>예</x:v>
      </x:c>
      <x:c r="Q239" s="113" t="str">
        <x:v>자동 분류·표본 검토 대상</x:v>
      </x:c>
    </x:row>
    <x:row r="240">
      <x:c r="A240" s="100" t="n">
        <x:v>239</x:v>
      </x:c>
      <x:c r="B240" s="101" t="n">
        <x:v>44093</x:v>
      </x:c>
      <x:c r="C240" s="102" t="n">
        <x:v>2020</x:v>
      </x:c>
      <x:c r="D240" s="103" t="str">
        <x:v>ID-222094165483</x:v>
      </x:c>
      <x:c r="E240" s="112" t="str">
        <x:v>웹소설에서 점점 커져가는 캐릭터의 비중</x:v>
      </x:c>
      <x:c r="F240" s="112" t="str">
        <x:v>웹소생각</x:v>
      </x:c>
      <x:c r="G240" s="112" t="str">
        <x:v>웹소설 직접</x:v>
      </x:c>
      <x:c r="H240" s="112" t="str">
        <x:v>캐릭터·전개</x:v>
      </x:c>
      <x:c r="I240" s="112" t="n">
        <x:v>28</x:v>
      </x:c>
      <x:c r="J240" s="112" t="str">
        <x:v>캐릭터, 플롯, 에피소드, 주인공, 조연, 히로인</x:v>
      </x:c>
      <x:c r="K240" s="112" t="str">
        <x:v>본인 작성/의견 추정</x:v>
      </x:c>
      <x:c r="L240" s="112" t="str">
        <x:v>낮음</x:v>
      </x:c>
      <x:c r="M240" s="112" t="str">
        <x:v>재게시 표시는 없으나 저자성 직접 증거 부족</x:v>
      </x:c>
      <x:c r="N240" s="116" t="str"/>
      <x:c r="O240" s="116" t="str">
        <x:v>https://m.blog.naver.com/sntu2010/222094165483</x:v>
      </x:c>
      <x:c r="P240" s="112" t="str">
        <x:v>예</x:v>
      </x:c>
      <x:c r="Q240" s="113" t="str">
        <x:v>자동 분류·표본 검토 대상</x:v>
      </x:c>
    </x:row>
    <x:row r="241">
      <x:c r="A241" s="100" t="n">
        <x:v>240</x:v>
      </x:c>
      <x:c r="B241" s="101" t="n">
        <x:v>44092</x:v>
      </x:c>
      <x:c r="C241" s="102" t="n">
        <x:v>2020</x:v>
      </x:c>
      <x:c r="D241" s="103" t="str">
        <x:v>ID-222093331514</x:v>
      </x:c>
      <x:c r="E241" s="112" t="str">
        <x:v>전업 웹소설 작가를 희망하며 힘든 시간을 보내는 분들에게</x:v>
      </x:c>
      <x:c r="F241" s="112" t="str">
        <x:v>웹소생각</x:v>
      </x:c>
      <x:c r="G241" s="112" t="str">
        <x:v>웹소설 직접</x:v>
      </x:c>
      <x:c r="H241" s="112" t="str">
        <x:v>수익·운영</x:v>
      </x:c>
      <x:c r="I241" s="112" t="n">
        <x:v>22</x:v>
      </x:c>
      <x:c r="J241" s="112" t="str">
        <x:v>전업, 수입</x:v>
      </x:c>
      <x:c r="K241" s="112" t="str">
        <x:v>본인 작성/의견 추정</x:v>
      </x:c>
      <x:c r="L241" s="112" t="str">
        <x:v>낮음</x:v>
      </x:c>
      <x:c r="M241" s="112" t="str">
        <x:v>재게시 표시는 없으나 저자성 직접 증거 부족</x:v>
      </x:c>
      <x:c r="N241" s="116" t="str"/>
      <x:c r="O241" s="116" t="str">
        <x:v>https://m.blog.naver.com/sntu2010/222093331514</x:v>
      </x:c>
      <x:c r="P241" s="112" t="str">
        <x:v>예</x:v>
      </x:c>
      <x:c r="Q241" s="113" t="str">
        <x:v>자동 분류·표본 검토 대상</x:v>
      </x:c>
    </x:row>
    <x:row r="242">
      <x:c r="A242" s="100" t="n">
        <x:v>241</x:v>
      </x:c>
      <x:c r="B242" s="101" t="n">
        <x:v>44089</x:v>
      </x:c>
      <x:c r="C242" s="102" t="n">
        <x:v>2020</x:v>
      </x:c>
      <x:c r="D242" s="103" t="str">
        <x:v>ID-222089929925</x:v>
      </x:c>
      <x:c r="E242" s="112" t="str">
        <x:v>웹소설 작가 슬럼프 극복 방법!</x:v>
      </x:c>
      <x:c r="F242" s="112" t="str">
        <x:v>웹소생각</x:v>
      </x:c>
      <x:c r="G242" s="112" t="str">
        <x:v>웹소설 직접</x:v>
      </x:c>
      <x:c r="H242" s="112" t="str">
        <x:v>작법·상업성</x:v>
      </x:c>
      <x:c r="I242" s="112" t="n">
        <x:v>2</x:v>
      </x:c>
      <x:c r="J242" s="112" t="str">
        <x:v>독자, 설정</x:v>
      </x:c>
      <x:c r="K242" s="112" t="str">
        <x:v>본인 작성/의견 추정</x:v>
      </x:c>
      <x:c r="L242" s="112" t="str">
        <x:v>낮음</x:v>
      </x:c>
      <x:c r="M242" s="112" t="str">
        <x:v>재게시 표시는 없으나 저자성 직접 증거 부족</x:v>
      </x:c>
      <x:c r="N242" s="116" t="str"/>
      <x:c r="O242" s="116" t="str">
        <x:v>https://m.blog.naver.com/sntu2010/222089929925</x:v>
      </x:c>
      <x:c r="P242" s="112" t="str">
        <x:v>아니오</x:v>
      </x:c>
      <x:c r="Q242" s="113" t="str">
        <x:v>수동 검토 필요</x:v>
      </x:c>
    </x:row>
    <x:row r="243">
      <x:c r="A243" s="100" t="n">
        <x:v>242</x:v>
      </x:c>
      <x:c r="B243" s="101" t="n">
        <x:v>44088</x:v>
      </x:c>
      <x:c r="C243" s="102" t="n">
        <x:v>2020</x:v>
      </x:c>
      <x:c r="D243" s="103" t="str">
        <x:v>ID-222089475725</x:v>
      </x:c>
      <x:c r="E243" s="112" t="str">
        <x:v>전업 웹소설 작가 생활의 장단점</x:v>
      </x:c>
      <x:c r="F243" s="112" t="str">
        <x:v>웹소생각</x:v>
      </x:c>
      <x:c r="G243" s="112" t="str">
        <x:v>웹소설 직접</x:v>
      </x:c>
      <x:c r="H243" s="112" t="str">
        <x:v>수익·운영</x:v>
      </x:c>
      <x:c r="I243" s="112" t="n">
        <x:v>22</x:v>
      </x:c>
      <x:c r="J243" s="112" t="str">
        <x:v>전업</x:v>
      </x:c>
      <x:c r="K243" s="112" t="str">
        <x:v>본인 경험담 추정</x:v>
      </x:c>
      <x:c r="L243" s="112" t="str">
        <x:v>중간</x:v>
      </x:c>
      <x:c r="M243" s="112" t="str">
        <x:v>1인칭 경험·작품·계약 표현</x:v>
      </x:c>
      <x:c r="N243" s="116" t="str"/>
      <x:c r="O243" s="116" t="str">
        <x:v>https://m.blog.naver.com/sntu2010/222089475725</x:v>
      </x:c>
      <x:c r="P243" s="112" t="str">
        <x:v>예</x:v>
      </x:c>
      <x:c r="Q243" s="113" t="str">
        <x:v>자동 분류·표본 검토 대상</x:v>
      </x:c>
    </x:row>
    <x:row r="244">
      <x:c r="A244" s="100" t="n">
        <x:v>243</x:v>
      </x:c>
      <x:c r="B244" s="101" t="n">
        <x:v>44088</x:v>
      </x:c>
      <x:c r="C244" s="102" t="n">
        <x:v>2020</x:v>
      </x:c>
      <x:c r="D244" s="103" t="str">
        <x:v>ID-222089263433</x:v>
      </x:c>
      <x:c r="E244" s="112" t="str">
        <x:v>웹소설 작가가 슬럼프를 겪는 대표적인 이유 몇 가지</x:v>
      </x:c>
      <x:c r="F244" s="112" t="str">
        <x:v>웹소생각</x:v>
      </x:c>
      <x:c r="G244" s="112" t="str">
        <x:v>웹소설 직접</x:v>
      </x:c>
      <x:c r="H244" s="112" t="str">
        <x:v>플랫폼·투고·계약</x:v>
      </x:c>
      <x:c r="I244" s="112" t="n">
        <x:v>4</x:v>
      </x:c>
      <x:c r="J244" s="112" t="str">
        <x:v>조아라, 문피아, 카카오, 네이버</x:v>
      </x:c>
      <x:c r="K244" s="112" t="str">
        <x:v>본인 작성/의견 추정</x:v>
      </x:c>
      <x:c r="L244" s="112" t="str">
        <x:v>낮음</x:v>
      </x:c>
      <x:c r="M244" s="112" t="str">
        <x:v>재게시 표시는 없으나 저자성 직접 증거 부족</x:v>
      </x:c>
      <x:c r="N244" s="116" t="str"/>
      <x:c r="O244" s="116" t="str">
        <x:v>https://m.blog.naver.com/sntu2010/222089263433</x:v>
      </x:c>
      <x:c r="P244" s="112" t="str">
        <x:v>아니오</x:v>
      </x:c>
      <x:c r="Q244" s="113" t="str">
        <x:v>자동 분류·표본 검토 대상</x:v>
      </x:c>
    </x:row>
    <x:row r="245">
      <x:c r="A245" s="100" t="n">
        <x:v>244</x:v>
      </x:c>
      <x:c r="B245" s="101" t="n">
        <x:v>44088</x:v>
      </x:c>
      <x:c r="C245" s="102" t="n">
        <x:v>2020</x:v>
      </x:c>
      <x:c r="D245" s="103" t="str">
        <x:v>ID-222089175570</x:v>
      </x:c>
      <x:c r="E245" s="112" t="str">
        <x:v>기성 작가가 알려주는 노하우를 내 글에 바로 써먹을 수 없는 이유</x:v>
      </x:c>
      <x:c r="F245" s="112" t="str">
        <x:v>웹소생각</x:v>
      </x:c>
      <x:c r="G245" s="112" t="str">
        <x:v>웹소설 직접</x:v>
      </x:c>
      <x:c r="H245" s="112" t="str">
        <x:v>작법·상업성</x:v>
      </x:c>
      <x:c r="I245" s="112" t="n">
        <x:v>3</x:v>
      </x:c>
      <x:c r="J245" s="112" t="str">
        <x:v>재미, 고구마, 사이다</x:v>
      </x:c>
      <x:c r="K245" s="112" t="str">
        <x:v>본인 경험담 추정</x:v>
      </x:c>
      <x:c r="L245" s="112" t="str">
        <x:v>중간</x:v>
      </x:c>
      <x:c r="M245" s="112" t="str">
        <x:v>1인칭 경험·작품·계약 표현</x:v>
      </x:c>
      <x:c r="N245" s="116" t="str"/>
      <x:c r="O245" s="116" t="str">
        <x:v>https://m.blog.naver.com/sntu2010/222089175570</x:v>
      </x:c>
      <x:c r="P245" s="112" t="str">
        <x:v>아니오</x:v>
      </x:c>
      <x:c r="Q245" s="113" t="str">
        <x:v>자동 분류·표본 검토 대상</x:v>
      </x:c>
    </x:row>
    <x:row r="246">
      <x:c r="A246" s="100" t="n">
        <x:v>245</x:v>
      </x:c>
      <x:c r="B246" s="101" t="n">
        <x:v>44086</x:v>
      </x:c>
      <x:c r="C246" s="102" t="n">
        <x:v>2020</x:v>
      </x:c>
      <x:c r="D246" s="103" t="str">
        <x:v>ID-222087477772</x:v>
      </x:c>
      <x:c r="E246" s="112" t="str">
        <x:v>[펌]문피아 연재 관련 개뻘팁(노쓰우드 작가님)</x:v>
      </x:c>
      <x:c r="F246" s="112" t="str">
        <x:v>웹소작법</x:v>
      </x:c>
      <x:c r="G246" s="112" t="str">
        <x:v>웹소설 직접</x:v>
      </x:c>
      <x:c r="H246" s="112" t="str">
        <x:v>플랫폼·투고·계약</x:v>
      </x:c>
      <x:c r="I246" s="112" t="n">
        <x:v>20</x:v>
      </x:c>
      <x:c r="J246" s="112" t="str">
        <x:v>문피아</x:v>
      </x:c>
      <x:c r="K246" s="112" t="str">
        <x:v>재게시</x:v>
      </x:c>
      <x:c r="L246" s="112" t="str">
        <x:v>높음</x:v>
      </x:c>
      <x:c r="M246" s="112" t="str">
        <x:v>제목의 펌/퍼옴 표시</x:v>
      </x:c>
      <x:c r="N246" s="116" t="str">
        <x:v>https://gall.dcinside.com/mgallery/board/view/?id=tgijjdd&amp;no=379795&amp;_rk=EYz&amp;exception_mode=recommend&amp;page=1</x:v>
      </x:c>
      <x:c r="O246" s="116" t="str">
        <x:v>https://m.blog.naver.com/sntu2010/222087477772</x:v>
      </x:c>
      <x:c r="P246" s="112" t="str">
        <x:v>예</x:v>
      </x:c>
      <x:c r="Q246" s="113" t="str">
        <x:v>자동 분류·표본 검토 대상</x:v>
      </x:c>
    </x:row>
    <x:row r="247">
      <x:c r="A247" s="100" t="n">
        <x:v>246</x:v>
      </x:c>
      <x:c r="B247" s="101" t="n">
        <x:v>44085</x:v>
      </x:c>
      <x:c r="C247" s="102" t="n">
        <x:v>2020</x:v>
      </x:c>
      <x:c r="D247" s="103" t="str">
        <x:v>ID-222086755186</x:v>
      </x:c>
      <x:c r="E247" s="112" t="str">
        <x:v>[펌]캐릭터가 다양한 웹소 쓰기가 힘든 이유</x:v>
      </x:c>
      <x:c r="F247" s="112" t="str">
        <x:v>웹소작법</x:v>
      </x:c>
      <x:c r="G247" s="112" t="str">
        <x:v>웹소설 직접</x:v>
      </x:c>
      <x:c r="H247" s="112" t="str">
        <x:v>캐릭터·전개</x:v>
      </x:c>
      <x:c r="I247" s="112" t="n">
        <x:v>28</x:v>
      </x:c>
      <x:c r="J247" s="112" t="str">
        <x:v>캐릭터, 에피소드, 주인공, 조연</x:v>
      </x:c>
      <x:c r="K247" s="112" t="str">
        <x:v>재게시</x:v>
      </x:c>
      <x:c r="L247" s="112" t="str">
        <x:v>높음</x:v>
      </x:c>
      <x:c r="M247" s="112" t="str">
        <x:v>제목의 펌/퍼옴 표시</x:v>
      </x:c>
      <x:c r="N247" s="116" t="str">
        <x:v>https://gall.dcinside.com/mgallery/board/view/?id=tgijjdd&amp;no=370309&amp;_rk=zx3&amp;s_type=search_all&amp;s_keyword=%EC%BA%90%EB%A6%AD%ED%84%B0&amp;page=5</x:v>
      </x:c>
      <x:c r="O247" s="116" t="str">
        <x:v>https://m.blog.naver.com/sntu2010/222086755186</x:v>
      </x:c>
      <x:c r="P247" s="112" t="str">
        <x:v>예</x:v>
      </x:c>
      <x:c r="Q247" s="113" t="str">
        <x:v>자동 분류·표본 검토 대상</x:v>
      </x:c>
    </x:row>
    <x:row r="248">
      <x:c r="A248" s="100" t="n">
        <x:v>247</x:v>
      </x:c>
      <x:c r="B248" s="101" t="n">
        <x:v>44083</x:v>
      </x:c>
      <x:c r="C248" s="102" t="n">
        <x:v>2020</x:v>
      </x:c>
      <x:c r="D248" s="103" t="str">
        <x:v>ID-222084670722</x:v>
      </x:c>
      <x:c r="E248" s="112" t="str">
        <x:v>[펌]설정을 지문이 아닌 대사에 녹이라는 말(노경찬 작가님)</x:v>
      </x:c>
      <x:c r="F248" s="112" t="str">
        <x:v>웹소작법</x:v>
      </x:c>
      <x:c r="G248" s="112" t="str">
        <x:v>웹소설 직접</x:v>
      </x:c>
      <x:c r="H248" s="112" t="str">
        <x:v>캐릭터·전개</x:v>
      </x:c>
      <x:c r="I248" s="112" t="n">
        <x:v>24</x:v>
      </x:c>
      <x:c r="J248" s="112" t="str">
        <x:v>대사, 인물</x:v>
      </x:c>
      <x:c r="K248" s="112" t="str">
        <x:v>재게시</x:v>
      </x:c>
      <x:c r="L248" s="112" t="str">
        <x:v>높음</x:v>
      </x:c>
      <x:c r="M248" s="112" t="str">
        <x:v>제목의 펌/퍼옴 표시</x:v>
      </x:c>
      <x:c r="N248" s="116" t="str">
        <x:v>https://gall.dcinside.com/mgallery/board/view/?id=tgijjdd&amp;no=378451&amp;_rk=Hc2&amp;exception_mode=recommend&amp;page=1</x:v>
      </x:c>
      <x:c r="O248" s="116" t="str">
        <x:v>https://m.blog.naver.com/sntu2010/222084670722</x:v>
      </x:c>
      <x:c r="P248" s="112" t="str">
        <x:v>예</x:v>
      </x:c>
      <x:c r="Q248" s="113" t="str">
        <x:v>자동 분류·표본 검토 대상</x:v>
      </x:c>
    </x:row>
    <x:row r="249">
      <x:c r="A249" s="100" t="n">
        <x:v>248</x:v>
      </x:c>
      <x:c r="B249" s="101" t="n">
        <x:v>44083</x:v>
      </x:c>
      <x:c r="C249" s="102" t="n">
        <x:v>2020</x:v>
      </x:c>
      <x:c r="D249" s="103" t="str">
        <x:v>ID-222084669221</x:v>
      </x:c>
      <x:c r="E249" s="112" t="str">
        <x:v>[펌]지문과 대사분배(노쓰우드 작가님)</x:v>
      </x:c>
      <x:c r="F249" s="112" t="str">
        <x:v>웹소작법</x:v>
      </x:c>
      <x:c r="G249" s="112" t="str">
        <x:v>웹소설 직접</x:v>
      </x:c>
      <x:c r="H249" s="112" t="str">
        <x:v>캐릭터·전개</x:v>
      </x:c>
      <x:c r="I249" s="112" t="n">
        <x:v>28</x:v>
      </x:c>
      <x:c r="J249" s="112" t="str">
        <x:v>대사, 인물, 주인공, 사건</x:v>
      </x:c>
      <x:c r="K249" s="112" t="str">
        <x:v>재게시</x:v>
      </x:c>
      <x:c r="L249" s="112" t="str">
        <x:v>높음</x:v>
      </x:c>
      <x:c r="M249" s="112" t="str">
        <x:v>제목의 펌/퍼옴 표시</x:v>
      </x:c>
      <x:c r="N249" s="116" t="str">
        <x:v>https://gall.dcinside.com/mgallery/board/view/?id=tgijjdd&amp;no=378417&amp;_rk=eYK&amp;exception_mode=recommend&amp;page=1</x:v>
      </x:c>
      <x:c r="O249" s="116" t="str">
        <x:v>https://m.blog.naver.com/sntu2010/222084669221</x:v>
      </x:c>
      <x:c r="P249" s="112" t="str">
        <x:v>예</x:v>
      </x:c>
      <x:c r="Q249" s="113" t="str">
        <x:v>자동 분류·표본 검토 대상</x:v>
      </x:c>
    </x:row>
    <x:row r="250">
      <x:c r="A250" s="100" t="n">
        <x:v>249</x:v>
      </x:c>
      <x:c r="B250" s="101" t="n">
        <x:v>44075</x:v>
      </x:c>
      <x:c r="C250" s="102" t="n">
        <x:v>2020</x:v>
      </x:c>
      <x:c r="D250" s="103" t="str">
        <x:v>ID-222077239179</x:v>
      </x:c>
      <x:c r="E250" s="112" t="str">
        <x:v>[펌]연재 화수에 따라 신경써야 할 것들(노쓰우드 작가님)</x:v>
      </x:c>
      <x:c r="F250" s="112" t="str">
        <x:v>웹소작법</x:v>
      </x:c>
      <x:c r="G250" s="112" t="str">
        <x:v>웹소설 직접</x:v>
      </x:c>
      <x:c r="H250" s="112" t="str">
        <x:v>작법·상업성</x:v>
      </x:c>
      <x:c r="I250" s="112" t="n">
        <x:v>8</x:v>
      </x:c>
      <x:c r="J250" s="112" t="str">
        <x:v>제목, 재미, 독자, 소개글, 기대감, 소재, 작법</x:v>
      </x:c>
      <x:c r="K250" s="112" t="str">
        <x:v>재게시</x:v>
      </x:c>
      <x:c r="L250" s="112" t="str">
        <x:v>높음</x:v>
      </x:c>
      <x:c r="M250" s="112" t="str">
        <x:v>제목의 펌/퍼옴 표시</x:v>
      </x:c>
      <x:c r="N250" s="116" t="str">
        <x:v>https://gall.dcinside.com/mgallery/board/view/?id=tgijjdd&amp;no=374461&amp;_rk=Hc2&amp;exception_mode=recommend&amp;page=1</x:v>
      </x:c>
      <x:c r="O250" s="116" t="str">
        <x:v>https://m.blog.naver.com/sntu2010/222077239179</x:v>
      </x:c>
      <x:c r="P250" s="112" t="str">
        <x:v>예</x:v>
      </x:c>
      <x:c r="Q250" s="113" t="str">
        <x:v>자동 분류·표본 검토 대상</x:v>
      </x:c>
    </x:row>
    <x:row r="251">
      <x:c r="A251" s="100" t="n">
        <x:v>250</x:v>
      </x:c>
      <x:c r="B251" s="101" t="n">
        <x:v>44073</x:v>
      </x:c>
      <x:c r="C251" s="102" t="n">
        <x:v>2020</x:v>
      </x:c>
      <x:c r="D251" s="103" t="str">
        <x:v>ID-222075311085</x:v>
      </x:c>
      <x:c r="E251" s="112" t="str">
        <x:v>웹소설 작가는 악플이 두렵다!</x:v>
      </x:c>
      <x:c r="F251" s="112" t="str">
        <x:v>웹소생각</x:v>
      </x:c>
      <x:c r="G251" s="112" t="str">
        <x:v>웹소설 직접</x:v>
      </x:c>
      <x:c r="H251" s="112" t="str">
        <x:v>기타/검토</x:v>
      </x:c>
      <x:c r="I251" s="112" t="n">
        <x:v>0</x:v>
      </x:c>
      <x:c r="J251" s="112" t="str"/>
      <x:c r="K251" s="112" t="str">
        <x:v>외부자료 소개/재가공</x:v>
      </x:c>
      <x:c r="L251" s="112" t="str">
        <x:v>중간</x:v>
      </x:c>
      <x:c r="M251" s="112" t="str">
        <x:v>본문 앞부분의 외부 출처 URL</x:v>
      </x:c>
      <x:c r="N251" s="116" t="str">
        <x:v>https://youtu.be/3Ks8usuSYwI</x:v>
      </x:c>
      <x:c r="O251" s="116" t="str">
        <x:v>https://m.blog.naver.com/sntu2010/222075311085</x:v>
      </x:c>
      <x:c r="P251" s="112" t="str">
        <x:v>아니오</x:v>
      </x:c>
      <x:c r="Q251" s="113" t="str">
        <x:v>수동 검토 필요</x:v>
      </x:c>
    </x:row>
    <x:row r="252">
      <x:c r="A252" s="100" t="n">
        <x:v>251</x:v>
      </x:c>
      <x:c r="B252" s="101" t="n">
        <x:v>44063</x:v>
      </x:c>
      <x:c r="C252" s="102" t="n">
        <x:v>2020</x:v>
      </x:c>
      <x:c r="D252" s="103" t="str">
        <x:v>ID-222065688294</x:v>
      </x:c>
      <x:c r="E252" s="112" t="str">
        <x:v>[펌]웹소설 연재하면서 느낀 점 정리함</x:v>
      </x:c>
      <x:c r="F252" s="112" t="str">
        <x:v>웹소작법</x:v>
      </x:c>
      <x:c r="G252" s="112" t="str">
        <x:v>웹소설 직접</x:v>
      </x:c>
      <x:c r="H252" s="112" t="str">
        <x:v>캐릭터·전개</x:v>
      </x:c>
      <x:c r="I252" s="112" t="n">
        <x:v>8</x:v>
      </x:c>
      <x:c r="J252" s="112" t="str">
        <x:v>전개, 주인공, 에피소드, 조연</x:v>
      </x:c>
      <x:c r="K252" s="112" t="str">
        <x:v>재게시</x:v>
      </x:c>
      <x:c r="L252" s="112" t="str">
        <x:v>높음</x:v>
      </x:c>
      <x:c r="M252" s="112" t="str">
        <x:v>제목의 펌/퍼옴 표시</x:v>
      </x:c>
      <x:c r="N252" s="116" t="str">
        <x:v>https://gall.dcinside.com/mgallery/board/view/?id=tgijjdd&amp;no=368438&amp;_rk=urT&amp;page=1</x:v>
      </x:c>
      <x:c r="O252" s="116" t="str">
        <x:v>https://m.blog.naver.com/sntu2010/222065688294</x:v>
      </x:c>
      <x:c r="P252" s="112" t="str">
        <x:v>예</x:v>
      </x:c>
      <x:c r="Q252" s="113" t="str">
        <x:v>자동 분류·표본 검토 대상</x:v>
      </x:c>
    </x:row>
    <x:row r="253">
      <x:c r="A253" s="100" t="n">
        <x:v>252</x:v>
      </x:c>
      <x:c r="B253" s="101" t="n">
        <x:v>44063</x:v>
      </x:c>
      <x:c r="C253" s="102" t="n">
        <x:v>2020</x:v>
      </x:c>
      <x:c r="D253" s="103" t="str">
        <x:v>ID-222065675445</x:v>
      </x:c>
      <x:c r="E253" s="112" t="str">
        <x:v>'디다트'작가님 인터뷰를 보고 드는 생각</x:v>
      </x:c>
      <x:c r="F253" s="112" t="str">
        <x:v>웹소생각</x:v>
      </x:c>
      <x:c r="G253" s="112" t="str">
        <x:v>웹소설 직접</x:v>
      </x:c>
      <x:c r="H253" s="112" t="str">
        <x:v>작법·상업성</x:v>
      </x:c>
      <x:c r="I253" s="112" t="n">
        <x:v>4</x:v>
      </x:c>
      <x:c r="J253" s="112" t="str">
        <x:v>독자, 설정, 재미</x:v>
      </x:c>
      <x:c r="K253" s="112" t="str">
        <x:v>외부자료 소개/재가공</x:v>
      </x:c>
      <x:c r="L253" s="112" t="str">
        <x:v>중간</x:v>
      </x:c>
      <x:c r="M253" s="112" t="str">
        <x:v>본문 앞부분의 외부 출처 URL</x:v>
      </x:c>
      <x:c r="N253" s="116" t="str">
        <x:v>https://youtu.be/VNqy3tORjc8</x:v>
      </x:c>
      <x:c r="O253" s="116" t="str">
        <x:v>https://m.blog.naver.com/sntu2010/222065675445</x:v>
      </x:c>
      <x:c r="P253" s="112" t="str">
        <x:v>아니오</x:v>
      </x:c>
      <x:c r="Q253" s="113" t="str">
        <x:v>자동 분류·표본 검토 대상</x:v>
      </x:c>
    </x:row>
    <x:row r="254">
      <x:c r="A254" s="100" t="n">
        <x:v>253</x:v>
      </x:c>
      <x:c r="B254" s="101" t="n">
        <x:v>44063</x:v>
      </x:c>
      <x:c r="C254" s="102" t="n">
        <x:v>2020</x:v>
      </x:c>
      <x:c r="D254" s="103" t="str">
        <x:v>ID-222065635831</x:v>
      </x:c>
      <x:c r="E254" s="112" t="str">
        <x:v>프리랜서 웹소설 작가 국비교육에 대하여</x:v>
      </x:c>
      <x:c r="F254" s="112" t="str">
        <x:v>웹소생각</x:v>
      </x:c>
      <x:c r="G254" s="112" t="str">
        <x:v>웹소설 직접</x:v>
      </x:c>
      <x:c r="H254" s="112" t="str">
        <x:v>수익·운영</x:v>
      </x:c>
      <x:c r="I254" s="112" t="n">
        <x:v>3</x:v>
      </x:c>
      <x:c r="J254" s="112" t="str">
        <x:v>매출, 수입</x:v>
      </x:c>
      <x:c r="K254" s="112" t="str">
        <x:v>본인 작성/의견 추정</x:v>
      </x:c>
      <x:c r="L254" s="112" t="str">
        <x:v>낮음</x:v>
      </x:c>
      <x:c r="M254" s="112" t="str">
        <x:v>재게시 표시는 없으나 저자성 직접 증거 부족</x:v>
      </x:c>
      <x:c r="N254" s="116" t="str"/>
      <x:c r="O254" s="116" t="str">
        <x:v>https://m.blog.naver.com/sntu2010/222065635831</x:v>
      </x:c>
      <x:c r="P254" s="112" t="str">
        <x:v>아니오</x:v>
      </x:c>
      <x:c r="Q254" s="113" t="str">
        <x:v>자동 분류·표본 검토 대상</x:v>
      </x:c>
    </x:row>
    <x:row r="255">
      <x:c r="A255" s="100" t="n">
        <x:v>254</x:v>
      </x:c>
      <x:c r="B255" s="101" t="n">
        <x:v>44061</x:v>
      </x:c>
      <x:c r="C255" s="102" t="n">
        <x:v>2020</x:v>
      </x:c>
      <x:c r="D255" s="103" t="str">
        <x:v>ID-222063985693</x:v>
      </x:c>
      <x:c r="E255" s="112" t="str">
        <x:v>[펌]매력적인 웹소설 도입부 쓰기</x:v>
      </x:c>
      <x:c r="F255" s="112" t="str">
        <x:v>웹소작법</x:v>
      </x:c>
      <x:c r="G255" s="112" t="str">
        <x:v>웹소설 직접</x:v>
      </x:c>
      <x:c r="H255" s="112" t="str">
        <x:v>작법·상업성</x:v>
      </x:c>
      <x:c r="I255" s="112" t="n">
        <x:v>2</x:v>
      </x:c>
      <x:c r="J255" s="112" t="str">
        <x:v>설정, 작법</x:v>
      </x:c>
      <x:c r="K255" s="112" t="str">
        <x:v>재게시</x:v>
      </x:c>
      <x:c r="L255" s="112" t="str">
        <x:v>높음</x:v>
      </x:c>
      <x:c r="M255" s="112" t="str">
        <x:v>제목의 펌/퍼옴 표시</x:v>
      </x:c>
      <x:c r="N255" s="116" t="str">
        <x:v>https://gall.dcinside.com/mgallery/board/view/?id=tgijjdd&amp;no=367264&amp;_rk=tDL&amp;exception_mode=recommend&amp;page=1</x:v>
      </x:c>
      <x:c r="O255" s="116" t="str">
        <x:v>https://m.blog.naver.com/sntu2010/222063985693</x:v>
      </x:c>
      <x:c r="P255" s="112" t="str">
        <x:v>아니오</x:v>
      </x:c>
      <x:c r="Q255" s="113" t="str">
        <x:v>자동 분류·표본 검토 대상</x:v>
      </x:c>
    </x:row>
    <x:row r="256">
      <x:c r="A256" s="100" t="n">
        <x:v>255</x:v>
      </x:c>
      <x:c r="B256" s="101" t="n">
        <x:v>44061</x:v>
      </x:c>
      <x:c r="C256" s="102" t="n">
        <x:v>2020</x:v>
      </x:c>
      <x:c r="D256" s="103" t="str">
        <x:v>ID-222063984247</x:v>
      </x:c>
      <x:c r="E256" s="112" t="str">
        <x:v>[펌]200~300화 이상 쓰는 3가지 방법</x:v>
      </x:c>
      <x:c r="F256" s="112" t="str">
        <x:v>웹소작법</x:v>
      </x:c>
      <x:c r="G256" s="112" t="str">
        <x:v>웹소설 직접</x:v>
      </x:c>
      <x:c r="H256" s="112" t="str">
        <x:v>작법·상업성</x:v>
      </x:c>
      <x:c r="I256" s="112" t="n">
        <x:v>5</x:v>
      </x:c>
      <x:c r="J256" s="112" t="str">
        <x:v>작법, 글쓰기</x:v>
      </x:c>
      <x:c r="K256" s="112" t="str">
        <x:v>재게시</x:v>
      </x:c>
      <x:c r="L256" s="112" t="str">
        <x:v>높음</x:v>
      </x:c>
      <x:c r="M256" s="112" t="str">
        <x:v>제목의 펌/퍼옴 표시</x:v>
      </x:c>
      <x:c r="N256" s="116" t="str">
        <x:v>https://gall.dcinside.com/mgallery/board/view/?id=tgijjdd&amp;no=367277&amp;_rk=JRL&amp;exception_mode=recommend&amp;page=1</x:v>
      </x:c>
      <x:c r="O256" s="116" t="str">
        <x:v>https://m.blog.naver.com/sntu2010/222063984247</x:v>
      </x:c>
      <x:c r="P256" s="112" t="str">
        <x:v>아니오</x:v>
      </x:c>
      <x:c r="Q256" s="113" t="str">
        <x:v>자동 분류·표본 검토 대상</x:v>
      </x:c>
    </x:row>
    <x:row r="257">
      <x:c r="A257" s="100" t="n">
        <x:v>256</x:v>
      </x:c>
      <x:c r="B257" s="101" t="n">
        <x:v>44057</x:v>
      </x:c>
      <x:c r="C257" s="102" t="n">
        <x:v>2020</x:v>
      </x:c>
      <x:c r="D257" s="103" t="str">
        <x:v>ID-222060271213</x:v>
      </x:c>
      <x:c r="E257" s="112" t="str">
        <x:v>[펌]웹연갤에서 많이 쓰이는 단어들</x:v>
      </x:c>
      <x:c r="F257" s="112" t="str">
        <x:v>웹소작법</x:v>
      </x:c>
      <x:c r="G257" s="112" t="str">
        <x:v>웹소설 직접</x:v>
      </x:c>
      <x:c r="H257" s="112" t="str">
        <x:v>플랫폼·투고·계약</x:v>
      </x:c>
      <x:c r="I257" s="112" t="n">
        <x:v>1</x:v>
      </x:c>
      <x:c r="J257" s="112" t="str">
        <x:v>문피아</x:v>
      </x:c>
      <x:c r="K257" s="112" t="str">
        <x:v>재게시</x:v>
      </x:c>
      <x:c r="L257" s="112" t="str">
        <x:v>높음</x:v>
      </x:c>
      <x:c r="M257" s="112" t="str">
        <x:v>제목의 펌/퍼옴 표시</x:v>
      </x:c>
      <x:c r="N257" s="116" t="str">
        <x:v>https://gall.dcinside.com/mgallery/board/view/?id=tgijjdd&amp;no=364820&amp;_rk=CFQ&amp;exception_mode=recommend&amp;page=1</x:v>
      </x:c>
      <x:c r="O257" s="116" t="str">
        <x:v>https://m.blog.naver.com/sntu2010/222060271213</x:v>
      </x:c>
      <x:c r="P257" s="112" t="str">
        <x:v>아니오</x:v>
      </x:c>
      <x:c r="Q257" s="113" t="str">
        <x:v>자동 분류·표본 검토 대상</x:v>
      </x:c>
    </x:row>
    <x:row r="258">
      <x:c r="A258" s="100" t="n">
        <x:v>257</x:v>
      </x:c>
      <x:c r="B258" s="101" t="n">
        <x:v>44057</x:v>
      </x:c>
      <x:c r="C258" s="102" t="n">
        <x:v>2020</x:v>
      </x:c>
      <x:c r="D258" s="103" t="str">
        <x:v>ID-222060254718</x:v>
      </x:c>
      <x:c r="E258" s="112" t="str">
        <x:v>[펌]웹갤팁중 젤 유용했던거 2개</x:v>
      </x:c>
      <x:c r="F258" s="112" t="str">
        <x:v>웹소작법</x:v>
      </x:c>
      <x:c r="G258" s="112" t="str">
        <x:v>웹소설 직접</x:v>
      </x:c>
      <x:c r="H258" s="112" t="str">
        <x:v>초반부/연독률</x:v>
      </x:c>
      <x:c r="I258" s="112" t="n">
        <x:v>1</x:v>
      </x:c>
      <x:c r="J258" s="112" t="str">
        <x:v>10화</x:v>
      </x:c>
      <x:c r="K258" s="112" t="str">
        <x:v>재게시</x:v>
      </x:c>
      <x:c r="L258" s="112" t="str">
        <x:v>높음</x:v>
      </x:c>
      <x:c r="M258" s="112" t="str">
        <x:v>제목의 펌/퍼옴 표시</x:v>
      </x:c>
      <x:c r="N258" s="116" t="str">
        <x:v>https://gall.dcinside.com/mgallery/board/view/?id=tgijjdd&amp;no=365392&amp;_rk=96k&amp;page=2</x:v>
      </x:c>
      <x:c r="O258" s="116" t="str">
        <x:v>https://m.blog.naver.com/sntu2010/222060254718</x:v>
      </x:c>
      <x:c r="P258" s="112" t="str">
        <x:v>아니오</x:v>
      </x:c>
      <x:c r="Q258" s="113" t="str">
        <x:v>자동 분류·표본 검토 대상</x:v>
      </x:c>
    </x:row>
    <x:row r="259">
      <x:c r="A259" s="100" t="n">
        <x:v>258</x:v>
      </x:c>
      <x:c r="B259" s="101" t="n">
        <x:v>44053</x:v>
      </x:c>
      <x:c r="C259" s="102" t="n">
        <x:v>2020</x:v>
      </x:c>
      <x:c r="D259" s="103" t="str">
        <x:v>ID-222056330954</x:v>
      </x:c>
      <x:c r="E259" s="112" t="str">
        <x:v>[펌]그래서 배경은 어떻게 입문해야 할까</x:v>
      </x:c>
      <x:c r="F259" s="112" t="str">
        <x:v>웹툰작법</x:v>
      </x:c>
      <x:c r="G259" s="112" t="str">
        <x:v>웹툰 참고</x:v>
      </x:c>
      <x:c r="H259" s="112" t="str">
        <x:v>작법·상업성</x:v>
      </x:c>
      <x:c r="I259" s="112" t="n">
        <x:v>1</x:v>
      </x:c>
      <x:c r="J259" s="112" t="str">
        <x:v>작법</x:v>
      </x:c>
      <x:c r="K259" s="112" t="str">
        <x:v>재게시</x:v>
      </x:c>
      <x:c r="L259" s="112" t="str">
        <x:v>높음</x:v>
      </x:c>
      <x:c r="M259" s="112" t="str">
        <x:v>제목의 펌/퍼옴 표시</x:v>
      </x:c>
      <x:c r="N259" s="116" t="str">
        <x:v>https://gall.dcinside.com/mgallery/board/view/?id=drawing&amp;no=68555&amp;_rk=tDL&amp;search_head=110&amp;page=1</x:v>
      </x:c>
      <x:c r="O259" s="116" t="str">
        <x:v>https://m.blog.naver.com/sntu2010/222056330954</x:v>
      </x:c>
      <x:c r="P259" s="112" t="str">
        <x:v>아니오</x:v>
      </x:c>
      <x:c r="Q259" s="113" t="str">
        <x:v>자동 분류·표본 검토 대상</x:v>
      </x:c>
    </x:row>
    <x:row r="260">
      <x:c r="A260" s="100" t="n">
        <x:v>259</x:v>
      </x:c>
      <x:c r="B260" s="101" t="n">
        <x:v>44053</x:v>
      </x:c>
      <x:c r="C260" s="102" t="n">
        <x:v>2020</x:v>
      </x:c>
      <x:c r="D260" s="103" t="str">
        <x:v>ID-222056309456</x:v>
      </x:c>
      <x:c r="E260" s="112" t="str">
        <x:v>[펌]쉽게 따라하는 빛그리기</x:v>
      </x:c>
      <x:c r="F260" s="112" t="str">
        <x:v>웹툰작법</x:v>
      </x:c>
      <x:c r="G260" s="112" t="str">
        <x:v>웹툰 참고</x:v>
      </x:c>
      <x:c r="H260" s="112" t="str">
        <x:v>작법·상업성</x:v>
      </x:c>
      <x:c r="I260" s="112" t="n">
        <x:v>1</x:v>
      </x:c>
      <x:c r="J260" s="112" t="str">
        <x:v>작법</x:v>
      </x:c>
      <x:c r="K260" s="112" t="str">
        <x:v>재게시</x:v>
      </x:c>
      <x:c r="L260" s="112" t="str">
        <x:v>높음</x:v>
      </x:c>
      <x:c r="M260" s="112" t="str">
        <x:v>제목의 펌/퍼옴 표시</x:v>
      </x:c>
      <x:c r="N260" s="116" t="str">
        <x:v>https://gall.dcinside.com/mgallery/board/view/?id=drawing&amp;no=74835&amp;_rk=tDL&amp;search_head=110&amp;page=1</x:v>
      </x:c>
      <x:c r="O260" s="116" t="str">
        <x:v>https://m.blog.naver.com/sntu2010/222056309456</x:v>
      </x:c>
      <x:c r="P260" s="112" t="str">
        <x:v>아니오</x:v>
      </x:c>
      <x:c r="Q260" s="113" t="str">
        <x:v>자동 분류·표본 검토 대상</x:v>
      </x:c>
    </x:row>
    <x:row r="261">
      <x:c r="A261" s="100" t="n">
        <x:v>260</x:v>
      </x:c>
      <x:c r="B261" s="101" t="n">
        <x:v>44053</x:v>
      </x:c>
      <x:c r="C261" s="102" t="n">
        <x:v>2020</x:v>
      </x:c>
      <x:c r="D261" s="103" t="str">
        <x:v>ID-222056307065</x:v>
      </x:c>
      <x:c r="E261" s="112" t="str">
        <x:v>[펌]색칠할때 잡아야 할 곳과 풀어야 할 곳을 판단하자</x:v>
      </x:c>
      <x:c r="F261" s="112" t="str">
        <x:v>웹툰작법</x:v>
      </x:c>
      <x:c r="G261" s="112" t="str">
        <x:v>웹툰 참고</x:v>
      </x:c>
      <x:c r="H261" s="112" t="str">
        <x:v>작법·상업성</x:v>
      </x:c>
      <x:c r="I261" s="112" t="n">
        <x:v>1</x:v>
      </x:c>
      <x:c r="J261" s="112" t="str">
        <x:v>작법</x:v>
      </x:c>
      <x:c r="K261" s="112" t="str">
        <x:v>재게시</x:v>
      </x:c>
      <x:c r="L261" s="112" t="str">
        <x:v>높음</x:v>
      </x:c>
      <x:c r="M261" s="112" t="str">
        <x:v>제목의 펌/퍼옴 표시</x:v>
      </x:c>
      <x:c r="N261" s="116" t="str">
        <x:v>https://gall.dcinside.com/mgallery/board/view/?id=drawing&amp;no=76226&amp;_rk=96k&amp;search_head=110&amp;page=1</x:v>
      </x:c>
      <x:c r="O261" s="116" t="str">
        <x:v>https://m.blog.naver.com/sntu2010/222056307065</x:v>
      </x:c>
      <x:c r="P261" s="112" t="str">
        <x:v>아니오</x:v>
      </x:c>
      <x:c r="Q261" s="113" t="str">
        <x:v>자동 분류·표본 검토 대상</x:v>
      </x:c>
    </x:row>
    <x:row r="262">
      <x:c r="A262" s="100" t="n">
        <x:v>261</x:v>
      </x:c>
      <x:c r="B262" s="101" t="n">
        <x:v>44053</x:v>
      </x:c>
      <x:c r="C262" s="102" t="n">
        <x:v>2020</x:v>
      </x:c>
      <x:c r="D262" s="103" t="str">
        <x:v>ID-222056287618</x:v>
      </x:c>
      <x:c r="E262" s="112" t="str">
        <x:v>[펌]그림 초보들 나 배운 과정 대충 써봄</x:v>
      </x:c>
      <x:c r="F262" s="112" t="str">
        <x:v>웹툰작법</x:v>
      </x:c>
      <x:c r="G262" s="112" t="str">
        <x:v>웹툰 참고</x:v>
      </x:c>
      <x:c r="H262" s="112" t="str">
        <x:v>작법·상업성</x:v>
      </x:c>
      <x:c r="I262" s="112" t="n">
        <x:v>1</x:v>
      </x:c>
      <x:c r="J262" s="112" t="str">
        <x:v>작법</x:v>
      </x:c>
      <x:c r="K262" s="112" t="str">
        <x:v>재게시</x:v>
      </x:c>
      <x:c r="L262" s="112" t="str">
        <x:v>높음</x:v>
      </x:c>
      <x:c r="M262" s="112" t="str">
        <x:v>제목의 펌/퍼옴 표시</x:v>
      </x:c>
      <x:c r="N262" s="116" t="str">
        <x:v>https://gall.dcinside.com/mgallery/board/view/?id=cartoonist&amp;no=42834&amp;_rk=CFQ&amp;search_head=10&amp;page=1</x:v>
      </x:c>
      <x:c r="O262" s="116" t="str">
        <x:v>https://m.blog.naver.com/sntu2010/222056287618</x:v>
      </x:c>
      <x:c r="P262" s="112" t="str">
        <x:v>아니오</x:v>
      </x:c>
      <x:c r="Q262" s="113" t="str">
        <x:v>자동 분류·표본 검토 대상</x:v>
      </x:c>
    </x:row>
    <x:row r="263">
      <x:c r="A263" s="100" t="n">
        <x:v>262</x:v>
      </x:c>
      <x:c r="B263" s="101" t="n">
        <x:v>44053</x:v>
      </x:c>
      <x:c r="C263" s="102" t="n">
        <x:v>2020</x:v>
      </x:c>
      <x:c r="D263" s="103" t="str">
        <x:v>ID-222056285193</x:v>
      </x:c>
      <x:c r="E263" s="112" t="str">
        <x:v>[펌]코미디를 만드는 법에 대해.araboza</x:v>
      </x:c>
      <x:c r="F263" s="112" t="str">
        <x:v>웹툰작법</x:v>
      </x:c>
      <x:c r="G263" s="112" t="str">
        <x:v>웹툰 참고</x:v>
      </x:c>
      <x:c r="H263" s="112" t="str">
        <x:v>캐릭터·전개</x:v>
      </x:c>
      <x:c r="I263" s="112" t="n">
        <x:v>4</x:v>
      </x:c>
      <x:c r="J263" s="112" t="str">
        <x:v>대사, 사건</x:v>
      </x:c>
      <x:c r="K263" s="112" t="str">
        <x:v>재게시</x:v>
      </x:c>
      <x:c r="L263" s="112" t="str">
        <x:v>높음</x:v>
      </x:c>
      <x:c r="M263" s="112" t="str">
        <x:v>제목의 펌/퍼옴 표시</x:v>
      </x:c>
      <x:c r="N263" s="116" t="str">
        <x:v>https://gall.dcinside.com/mgallery/board/view/?id=cartoonist&amp;no=42285&amp;_rk=tDL&amp;search_head=10&amp;page=1</x:v>
      </x:c>
      <x:c r="O263" s="116" t="str">
        <x:v>https://m.blog.naver.com/sntu2010/222056285193</x:v>
      </x:c>
      <x:c r="P263" s="112" t="str">
        <x:v>아니오</x:v>
      </x:c>
      <x:c r="Q263" s="113" t="str">
        <x:v>자동 분류·표본 검토 대상</x:v>
      </x:c>
    </x:row>
    <x:row r="264">
      <x:c r="A264" s="100" t="n">
        <x:v>263</x:v>
      </x:c>
      <x:c r="B264" s="101" t="n">
        <x:v>44053</x:v>
      </x:c>
      <x:c r="C264" s="102" t="n">
        <x:v>2020</x:v>
      </x:c>
      <x:c r="D264" s="103" t="str">
        <x:v>ID-222056284242</x:v>
      </x:c>
      <x:c r="E264" s="112" t="str">
        <x:v>[펌]스릴러 이야기를 만드는 방법을.araboza</x:v>
      </x:c>
      <x:c r="F264" s="112" t="str">
        <x:v>웹툰작법</x:v>
      </x:c>
      <x:c r="G264" s="112" t="str">
        <x:v>웹툰 참고</x:v>
      </x:c>
      <x:c r="H264" s="112" t="str">
        <x:v>캐릭터·전개</x:v>
      </x:c>
      <x:c r="I264" s="112" t="n">
        <x:v>5</x:v>
      </x:c>
      <x:c r="J264" s="112" t="str">
        <x:v>주인공</x:v>
      </x:c>
      <x:c r="K264" s="112" t="str">
        <x:v>재게시</x:v>
      </x:c>
      <x:c r="L264" s="112" t="str">
        <x:v>높음</x:v>
      </x:c>
      <x:c r="M264" s="112" t="str">
        <x:v>제목의 펌/퍼옴 표시</x:v>
      </x:c>
      <x:c r="N264" s="116" t="str">
        <x:v>https://gall.dcinside.com/mgallery/board/view/?id=cartoonist&amp;no=41840&amp;_rk=BQK&amp;search_head=10&amp;page=1</x:v>
      </x:c>
      <x:c r="O264" s="116" t="str">
        <x:v>https://m.blog.naver.com/sntu2010/222056284242</x:v>
      </x:c>
      <x:c r="P264" s="112" t="str">
        <x:v>아니오</x:v>
      </x:c>
      <x:c r="Q264" s="113" t="str">
        <x:v>자동 분류·표본 검토 대상</x:v>
      </x:c>
    </x:row>
    <x:row r="265">
      <x:c r="A265" s="100" t="n">
        <x:v>264</x:v>
      </x:c>
      <x:c r="B265" s="101" t="n">
        <x:v>44051</x:v>
      </x:c>
      <x:c r="C265" s="102" t="n">
        <x:v>2020</x:v>
      </x:c>
      <x:c r="D265" s="103" t="str">
        <x:v>ID-222054823749</x:v>
      </x:c>
      <x:c r="E265" s="112" t="str">
        <x:v>[펌]채색 팁 : 명암 보색 관해서</x:v>
      </x:c>
      <x:c r="F265" s="112" t="str">
        <x:v>웹툰작법</x:v>
      </x:c>
      <x:c r="G265" s="112" t="str">
        <x:v>웹툰 참고</x:v>
      </x:c>
      <x:c r="H265" s="112" t="str">
        <x:v>작법·상업성</x:v>
      </x:c>
      <x:c r="I265" s="112" t="n">
        <x:v>1</x:v>
      </x:c>
      <x:c r="J265" s="112" t="str">
        <x:v>작법</x:v>
      </x:c>
      <x:c r="K265" s="112" t="str">
        <x:v>재게시</x:v>
      </x:c>
      <x:c r="L265" s="112" t="str">
        <x:v>높음</x:v>
      </x:c>
      <x:c r="M265" s="112" t="str">
        <x:v>제목의 펌/퍼옴 표시</x:v>
      </x:c>
      <x:c r="N265" s="116" t="str">
        <x:v>https://gall.dcinside.com/mgallery/board/view/?id=cartoonist&amp;no=24121&amp;_rk=96k&amp;search_pos=-31504&amp;s_type=search_all&amp;s_keyword=%EB%8F%84%EC%9B%80%EB%90%98%EB%8A%94&amp;page=1</x:v>
      </x:c>
      <x:c r="O265" s="116" t="str">
        <x:v>https://m.blog.naver.com/sntu2010/222054823749</x:v>
      </x:c>
      <x:c r="P265" s="112" t="str">
        <x:v>아니오</x:v>
      </x:c>
      <x:c r="Q265" s="113" t="str">
        <x:v>자동 분류·표본 검토 대상</x:v>
      </x:c>
    </x:row>
    <x:row r="266">
      <x:c r="A266" s="100" t="n">
        <x:v>265</x:v>
      </x:c>
      <x:c r="B266" s="101" t="n">
        <x:v>44051</x:v>
      </x:c>
      <x:c r="C266" s="102" t="n">
        <x:v>2020</x:v>
      </x:c>
      <x:c r="D266" s="103" t="str">
        <x:v>ID-222054822183</x:v>
      </x:c>
      <x:c r="E266" s="112" t="str">
        <x:v>[펌]인체드로잉 진짜 충언해준다 새겨들어라</x:v>
      </x:c>
      <x:c r="F266" s="112" t="str">
        <x:v>웹툰작법</x:v>
      </x:c>
      <x:c r="G266" s="112" t="str">
        <x:v>웹툰 참고</x:v>
      </x:c>
      <x:c r="H266" s="112" t="str">
        <x:v>작법·상업성</x:v>
      </x:c>
      <x:c r="I266" s="112" t="n">
        <x:v>1</x:v>
      </x:c>
      <x:c r="J266" s="112" t="str">
        <x:v>작법</x:v>
      </x:c>
      <x:c r="K266" s="112" t="str">
        <x:v>재게시</x:v>
      </x:c>
      <x:c r="L266" s="112" t="str">
        <x:v>높음</x:v>
      </x:c>
      <x:c r="M266" s="112" t="str">
        <x:v>제목의 펌/퍼옴 표시</x:v>
      </x:c>
      <x:c r="N266" s="116" t="str">
        <x:v>https://gall.dcinside.com/mgallery/board/view/?id=cartoonist&amp;no=24121&amp;_rk=96k&amp;search_pos=-31504&amp;s_type=search_all&amp;s_keyword=%EB%8F%84%EC%9B%80%EB%90%98%EB%8A%94&amp;page=1</x:v>
      </x:c>
      <x:c r="O266" s="116" t="str">
        <x:v>https://m.blog.naver.com/sntu2010/222054822183</x:v>
      </x:c>
      <x:c r="P266" s="112" t="str">
        <x:v>아니오</x:v>
      </x:c>
      <x:c r="Q266" s="113" t="str">
        <x:v>자동 분류·표본 검토 대상</x:v>
      </x:c>
    </x:row>
    <x:row r="267">
      <x:c r="A267" s="100" t="n">
        <x:v>266</x:v>
      </x:c>
      <x:c r="B267" s="101" t="n">
        <x:v>44051</x:v>
      </x:c>
      <x:c r="C267" s="102" t="n">
        <x:v>2020</x:v>
      </x:c>
      <x:c r="D267" s="103" t="str">
        <x:v>ID-222054819683</x:v>
      </x:c>
      <x:c r="E267" s="112" t="str">
        <x:v>[펌]그림 왕초보시 해야하는 10가지</x:v>
      </x:c>
      <x:c r="F267" s="112" t="str">
        <x:v>웹툰작법</x:v>
      </x:c>
      <x:c r="G267" s="112" t="str">
        <x:v>웹툰 참고</x:v>
      </x:c>
      <x:c r="H267" s="112" t="str">
        <x:v>작법·상업성</x:v>
      </x:c>
      <x:c r="I267" s="112" t="n">
        <x:v>1</x:v>
      </x:c>
      <x:c r="J267" s="112" t="str">
        <x:v>작법</x:v>
      </x:c>
      <x:c r="K267" s="112" t="str">
        <x:v>재게시</x:v>
      </x:c>
      <x:c r="L267" s="112" t="str">
        <x:v>높음</x:v>
      </x:c>
      <x:c r="M267" s="112" t="str">
        <x:v>제목의 펌/퍼옴 표시</x:v>
      </x:c>
      <x:c r="N267" s="116" t="str">
        <x:v>https://gall.dcinside.com/mgallery/board/view/?id=cartoonist&amp;no=24121&amp;_rk=96k&amp;search_pos=-31504&amp;s_type=search_all&amp;s_keyword=%EB%8F%84%EC%9B%80%EB%90%98%EB%8A%94&amp;page=1</x:v>
      </x:c>
      <x:c r="O267" s="116" t="str">
        <x:v>https://m.blog.naver.com/sntu2010/222054819683</x:v>
      </x:c>
      <x:c r="P267" s="112" t="str">
        <x:v>아니오</x:v>
      </x:c>
      <x:c r="Q267" s="113" t="str">
        <x:v>자동 분류·표본 검토 대상</x:v>
      </x:c>
    </x:row>
    <x:row r="268">
      <x:c r="A268" s="100" t="n">
        <x:v>267</x:v>
      </x:c>
      <x:c r="B268" s="101" t="n">
        <x:v>44051</x:v>
      </x:c>
      <x:c r="C268" s="102" t="n">
        <x:v>2020</x:v>
      </x:c>
      <x:c r="D268" s="103" t="str">
        <x:v>ID-222054819092</x:v>
      </x:c>
      <x:c r="E268" s="112" t="str">
        <x:v>[펌]모작으로 공부하는 방법</x:v>
      </x:c>
      <x:c r="F268" s="112" t="str">
        <x:v>웹툰작법</x:v>
      </x:c>
      <x:c r="G268" s="112" t="str">
        <x:v>웹툰 참고</x:v>
      </x:c>
      <x:c r="H268" s="112" t="str">
        <x:v>작법·상업성</x:v>
      </x:c>
      <x:c r="I268" s="112" t="n">
        <x:v>1</x:v>
      </x:c>
      <x:c r="J268" s="112" t="str">
        <x:v>작법</x:v>
      </x:c>
      <x:c r="K268" s="112" t="str">
        <x:v>재게시</x:v>
      </x:c>
      <x:c r="L268" s="112" t="str">
        <x:v>높음</x:v>
      </x:c>
      <x:c r="M268" s="112" t="str">
        <x:v>제목의 펌/퍼옴 표시</x:v>
      </x:c>
      <x:c r="N268" s="116" t="str">
        <x:v>https://gall.dcinside.com/mgallery/board/view/?id=cartoonist&amp;no=24121&amp;_rk=96k&amp;search_pos=-31504&amp;s_type=search_all&amp;s_keyword=%EB%8F%84%EC%9B%80%EB%90%98%EB%8A%94&amp;page=1</x:v>
      </x:c>
      <x:c r="O268" s="116" t="str">
        <x:v>https://m.blog.naver.com/sntu2010/222054819092</x:v>
      </x:c>
      <x:c r="P268" s="112" t="str">
        <x:v>아니오</x:v>
      </x:c>
      <x:c r="Q268" s="113" t="str">
        <x:v>자동 분류·표본 검토 대상</x:v>
      </x:c>
    </x:row>
    <x:row r="269">
      <x:c r="A269" s="100" t="n">
        <x:v>268</x:v>
      </x:c>
      <x:c r="B269" s="101" t="n">
        <x:v>44051</x:v>
      </x:c>
      <x:c r="C269" s="102" t="n">
        <x:v>2020</x:v>
      </x:c>
      <x:c r="D269" s="103" t="str">
        <x:v>ID-222054818335</x:v>
      </x:c>
      <x:c r="E269" s="112" t="str">
        <x:v>[펌]그림 공부 유튜브 추천</x:v>
      </x:c>
      <x:c r="F269" s="112" t="str">
        <x:v>웹툰작법</x:v>
      </x:c>
      <x:c r="G269" s="112" t="str">
        <x:v>웹툰 참고</x:v>
      </x:c>
      <x:c r="H269" s="112" t="str">
        <x:v>작법·상업성</x:v>
      </x:c>
      <x:c r="I269" s="112" t="n">
        <x:v>1</x:v>
      </x:c>
      <x:c r="J269" s="112" t="str">
        <x:v>작법</x:v>
      </x:c>
      <x:c r="K269" s="112" t="str">
        <x:v>재게시</x:v>
      </x:c>
      <x:c r="L269" s="112" t="str">
        <x:v>높음</x:v>
      </x:c>
      <x:c r="M269" s="112" t="str">
        <x:v>제목의 펌/퍼옴 표시</x:v>
      </x:c>
      <x:c r="N269" s="116" t="str">
        <x:v>https://gall.dcinside.com/mgallery/board/view/?id=cartoonist&amp;no=24121&amp;_rk=96k&amp;search_pos=-31504&amp;s_type=search_all&amp;s_keyword=%EB%8F%84%EC%9B%80%EB%90%98%EB%8A%94&amp;page=1</x:v>
      </x:c>
      <x:c r="O269" s="116" t="str">
        <x:v>https://m.blog.naver.com/sntu2010/222054818335</x:v>
      </x:c>
      <x:c r="P269" s="112" t="str">
        <x:v>아니오</x:v>
      </x:c>
      <x:c r="Q269" s="113" t="str">
        <x:v>자동 분류·표본 검토 대상</x:v>
      </x:c>
    </x:row>
    <x:row r="270">
      <x:c r="A270" s="100" t="n">
        <x:v>269</x:v>
      </x:c>
      <x:c r="B270" s="101" t="n">
        <x:v>44051</x:v>
      </x:c>
      <x:c r="C270" s="102" t="n">
        <x:v>2020</x:v>
      </x:c>
      <x:c r="D270" s="103" t="str">
        <x:v>ID-222054816271</x:v>
      </x:c>
      <x:c r="E270" s="112" t="str">
        <x:v>[펌]인체 공부 도움되는 사이트</x:v>
      </x:c>
      <x:c r="F270" s="112" t="str">
        <x:v>웹툰작법</x:v>
      </x:c>
      <x:c r="G270" s="112" t="str">
        <x:v>웹툰 참고</x:v>
      </x:c>
      <x:c r="H270" s="112" t="str">
        <x:v>작법·상업성</x:v>
      </x:c>
      <x:c r="I270" s="112" t="n">
        <x:v>2</x:v>
      </x:c>
      <x:c r="J270" s="112" t="str">
        <x:v>설정, 작법</x:v>
      </x:c>
      <x:c r="K270" s="112" t="str">
        <x:v>재게시</x:v>
      </x:c>
      <x:c r="L270" s="112" t="str">
        <x:v>높음</x:v>
      </x:c>
      <x:c r="M270" s="112" t="str">
        <x:v>제목의 펌/퍼옴 표시</x:v>
      </x:c>
      <x:c r="N270" s="116" t="str">
        <x:v>https://gall.dcinside.com/mgallery/board/view/?id=cartoonist&amp;no=24121&amp;_rk=96k&amp;search_pos=-31504&amp;s_type=search_all&amp;s_keyword=%EB%8F%84%EC%9B%80%EB%90%98%EB%8A%94&amp;page=1</x:v>
      </x:c>
      <x:c r="O270" s="116" t="str">
        <x:v>https://m.blog.naver.com/sntu2010/222054816271</x:v>
      </x:c>
      <x:c r="P270" s="112" t="str">
        <x:v>아니오</x:v>
      </x:c>
      <x:c r="Q270" s="113" t="str">
        <x:v>자동 분류·표본 검토 대상</x:v>
      </x:c>
    </x:row>
    <x:row r="271">
      <x:c r="A271" s="100" t="n">
        <x:v>270</x:v>
      </x:c>
      <x:c r="B271" s="101" t="n">
        <x:v>44048</x:v>
      </x:c>
      <x:c r="C271" s="102" t="n">
        <x:v>2020</x:v>
      </x:c>
      <x:c r="D271" s="103" t="str">
        <x:v>ID-222052142286</x:v>
      </x:c>
      <x:c r="E271" s="112" t="str">
        <x:v>[펌]프롤로그에 대하여</x:v>
      </x:c>
      <x:c r="F271" s="112" t="str">
        <x:v>웹소작법</x:v>
      </x:c>
      <x:c r="G271" s="112" t="str">
        <x:v>웹소설 직접</x:v>
      </x:c>
      <x:c r="H271" s="112" t="str">
        <x:v>작법·상업성</x:v>
      </x:c>
      <x:c r="I271" s="112" t="n">
        <x:v>5</x:v>
      </x:c>
      <x:c r="J271" s="112" t="str">
        <x:v>글쓰기, 제목, 소개글, 독자, 작법</x:v>
      </x:c>
      <x:c r="K271" s="112" t="str">
        <x:v>재게시</x:v>
      </x:c>
      <x:c r="L271" s="112" t="str">
        <x:v>높음</x:v>
      </x:c>
      <x:c r="M271" s="112" t="str">
        <x:v>제목의 펌/퍼옴 표시</x:v>
      </x:c>
      <x:c r="N271" s="116" t="str">
        <x:v>https://gall.dcinside.com/mgallery/board/view/?id=tgijjdd&amp;no=360732&amp;_rk=CFQ&amp;exception_mode=recommend&amp;page=1</x:v>
      </x:c>
      <x:c r="O271" s="116" t="str">
        <x:v>https://m.blog.naver.com/sntu2010/222052142286</x:v>
      </x:c>
      <x:c r="P271" s="112" t="str">
        <x:v>아니오</x:v>
      </x:c>
      <x:c r="Q271" s="113" t="str">
        <x:v>자동 분류·표본 검토 대상</x:v>
      </x:c>
    </x:row>
    <x:row r="272">
      <x:c r="A272" s="100" t="n">
        <x:v>271</x:v>
      </x:c>
      <x:c r="B272" s="101" t="n">
        <x:v>44040</x:v>
      </x:c>
      <x:c r="C272" s="102" t="n">
        <x:v>2020</x:v>
      </x:c>
      <x:c r="D272" s="103" t="str">
        <x:v>ID-222043962430</x:v>
      </x:c>
      <x:c r="E272" s="112" t="str">
        <x:v>[펌]조노블 연재 팁</x:v>
      </x:c>
      <x:c r="F272" s="112" t="str">
        <x:v>웹소작법</x:v>
      </x:c>
      <x:c r="G272" s="112" t="str">
        <x:v>웹소설 직접</x:v>
      </x:c>
      <x:c r="H272" s="112" t="str">
        <x:v>초반부/연독률</x:v>
      </x:c>
      <x:c r="I272" s="112" t="n">
        <x:v>5</x:v>
      </x:c>
      <x:c r="J272" s="112" t="str">
        <x:v>유료화, 20화, 조회수, 유입</x:v>
      </x:c>
      <x:c r="K272" s="112" t="str">
        <x:v>재게시</x:v>
      </x:c>
      <x:c r="L272" s="112" t="str">
        <x:v>높음</x:v>
      </x:c>
      <x:c r="M272" s="112" t="str">
        <x:v>제목의 펌/퍼옴 표시</x:v>
      </x:c>
      <x:c r="N272" s="116" t="str">
        <x:v>https://gall.dcinside.com/mgallery/board/view/?id=tgijjdd&amp;no=356592&amp;_rk=Hc2&amp;exception_mode=recommend&amp;page=1</x:v>
      </x:c>
      <x:c r="O272" s="116" t="str">
        <x:v>https://m.blog.naver.com/sntu2010/222043962430</x:v>
      </x:c>
      <x:c r="P272" s="112" t="str">
        <x:v>아니오</x:v>
      </x:c>
      <x:c r="Q272" s="113" t="str">
        <x:v>자동 분류·표본 검토 대상</x:v>
      </x:c>
    </x:row>
    <x:row r="273">
      <x:c r="A273" s="100" t="n">
        <x:v>272</x:v>
      </x:c>
      <x:c r="B273" s="101" t="n">
        <x:v>44040</x:v>
      </x:c>
      <x:c r="C273" s="102" t="n">
        <x:v>2020</x:v>
      </x:c>
      <x:c r="D273" s="103" t="str">
        <x:v>ID-222043958451</x:v>
      </x:c>
      <x:c r="E273" s="112" t="str">
        <x:v>[펌]글을 쓸 때 사건간의 연결고리를 생각했으면 해</x:v>
      </x:c>
      <x:c r="F273" s="112" t="str">
        <x:v>웹소작법</x:v>
      </x:c>
      <x:c r="G273" s="112" t="str">
        <x:v>웹소설 직접</x:v>
      </x:c>
      <x:c r="H273" s="112" t="str">
        <x:v>캐릭터·전개</x:v>
      </x:c>
      <x:c r="I273" s="112" t="n">
        <x:v>28</x:v>
      </x:c>
      <x:c r="J273" s="112" t="str">
        <x:v>사건, 주인공, 서사</x:v>
      </x:c>
      <x:c r="K273" s="112" t="str">
        <x:v>재게시</x:v>
      </x:c>
      <x:c r="L273" s="112" t="str">
        <x:v>높음</x:v>
      </x:c>
      <x:c r="M273" s="112" t="str">
        <x:v>제목의 펌/퍼옴 표시</x:v>
      </x:c>
      <x:c r="N273" s="116" t="str">
        <x:v>https://gall.dcinside.com/mgallery/board/view/?id=tgijjdd&amp;no=357029&amp;_rk=urT&amp;exception_mode=recommend&amp;page=1</x:v>
      </x:c>
      <x:c r="O273" s="116" t="str">
        <x:v>https://m.blog.naver.com/sntu2010/222043958451</x:v>
      </x:c>
      <x:c r="P273" s="112" t="str">
        <x:v>예</x:v>
      </x:c>
      <x:c r="Q273" s="113" t="str">
        <x:v>자동 분류·표본 검토 대상</x:v>
      </x:c>
    </x:row>
    <x:row r="274">
      <x:c r="A274" s="100" t="n">
        <x:v>273</x:v>
      </x:c>
      <x:c r="B274" s="101" t="n">
        <x:v>44039</x:v>
      </x:c>
      <x:c r="C274" s="102" t="n">
        <x:v>2020</x:v>
      </x:c>
      <x:c r="D274" s="103" t="str">
        <x:v>ID-222042959567</x:v>
      </x:c>
      <x:c r="E274" s="112" t="str">
        <x:v>[펌]웹소의 기본 다독에 관하여 1~2부(노쓰우드 작가님)</x:v>
      </x:c>
      <x:c r="F274" s="112" t="str">
        <x:v>웹소작법</x:v>
      </x:c>
      <x:c r="G274" s="112" t="str">
        <x:v>웹소설 직접</x:v>
      </x:c>
      <x:c r="H274" s="112" t="str">
        <x:v>작법·상업성</x:v>
      </x:c>
      <x:c r="I274" s="112" t="n">
        <x:v>5</x:v>
      </x:c>
      <x:c r="J274" s="112" t="str">
        <x:v>클리셰, 독자, 흥행, 작법</x:v>
      </x:c>
      <x:c r="K274" s="112" t="str">
        <x:v>재게시</x:v>
      </x:c>
      <x:c r="L274" s="112" t="str">
        <x:v>높음</x:v>
      </x:c>
      <x:c r="M274" s="112" t="str">
        <x:v>제목의 펌/퍼옴 표시</x:v>
      </x:c>
      <x:c r="N274" s="116" t="str">
        <x:v>https://gall.dcinside.com/mgallery/board/view/?id=tgijjdd&amp;no=356484&amp;_rk=CFQ&amp;page=1</x:v>
      </x:c>
      <x:c r="O274" s="116" t="str">
        <x:v>https://m.blog.naver.com/sntu2010/222042959567</x:v>
      </x:c>
      <x:c r="P274" s="112" t="str">
        <x:v>아니오</x:v>
      </x:c>
      <x:c r="Q274" s="113" t="str">
        <x:v>자동 분류·표본 검토 대상</x:v>
      </x:c>
    </x:row>
    <x:row r="275">
      <x:c r="A275" s="100" t="n">
        <x:v>274</x:v>
      </x:c>
      <x:c r="B275" s="101" t="n">
        <x:v>44035</x:v>
      </x:c>
      <x:c r="C275" s="102" t="n">
        <x:v>2020</x:v>
      </x:c>
      <x:c r="D275" s="103" t="str">
        <x:v>ID-222039482957</x:v>
      </x:c>
      <x:c r="E275" s="112" t="str">
        <x:v>[펌]참고용으로 보는 MCU의 클리셰 법칙</x:v>
      </x:c>
      <x:c r="F275" s="112" t="str">
        <x:v>웹소작법</x:v>
      </x:c>
      <x:c r="G275" s="112" t="str">
        <x:v>웹소설 직접</x:v>
      </x:c>
      <x:c r="H275" s="112" t="str">
        <x:v>작법·상업성</x:v>
      </x:c>
      <x:c r="I275" s="112" t="n">
        <x:v>22</x:v>
      </x:c>
      <x:c r="J275" s="112" t="str">
        <x:v>클리셰, 소재, 작법</x:v>
      </x:c>
      <x:c r="K275" s="112" t="str">
        <x:v>재게시</x:v>
      </x:c>
      <x:c r="L275" s="112" t="str">
        <x:v>높음</x:v>
      </x:c>
      <x:c r="M275" s="112" t="str">
        <x:v>제목의 펌/퍼옴 표시</x:v>
      </x:c>
      <x:c r="N275" s="116" t="str">
        <x:v>https://gall.dcinside.com/mgallery/board/view/?id=tgijjdd&amp;no=354200&amp;_rk=Hc2&amp;exception_mode=recommend&amp;page=1</x:v>
      </x:c>
      <x:c r="O275" s="116" t="str">
        <x:v>https://m.blog.naver.com/sntu2010/222039482957</x:v>
      </x:c>
      <x:c r="P275" s="112" t="str">
        <x:v>예</x:v>
      </x:c>
      <x:c r="Q275" s="113" t="str">
        <x:v>자동 분류·표본 검토 대상</x:v>
      </x:c>
    </x:row>
    <x:row r="276">
      <x:c r="A276" s="100" t="n">
        <x:v>275</x:v>
      </x:c>
      <x:c r="B276" s="101" t="n">
        <x:v>44035</x:v>
      </x:c>
      <x:c r="C276" s="102" t="n">
        <x:v>2020</x:v>
      </x:c>
      <x:c r="D276" s="103" t="str">
        <x:v>ID-222039480357</x:v>
      </x:c>
      <x:c r="E276" s="112" t="str">
        <x:v>[펌]글 쓰면서 개인적으로 느낀점</x:v>
      </x:c>
      <x:c r="F276" s="112" t="str">
        <x:v>웹소작법</x:v>
      </x:c>
      <x:c r="G276" s="112" t="str">
        <x:v>웹소설 직접</x:v>
      </x:c>
      <x:c r="H276" s="112" t="str">
        <x:v>초반부/연독률</x:v>
      </x:c>
      <x:c r="I276" s="112" t="n">
        <x:v>3</x:v>
      </x:c>
      <x:c r="J276" s="112" t="str">
        <x:v>연독</x:v>
      </x:c>
      <x:c r="K276" s="112" t="str">
        <x:v>재게시</x:v>
      </x:c>
      <x:c r="L276" s="112" t="str">
        <x:v>높음</x:v>
      </x:c>
      <x:c r="M276" s="112" t="str">
        <x:v>제목의 펌/퍼옴 표시</x:v>
      </x:c>
      <x:c r="N276" s="116" t="str">
        <x:v>https://gall.dcinside.com/mgallery/board/view/?id=tgijjdd&amp;no=354098&amp;_rk=zx3&amp;exception_mode=recommend&amp;page=1</x:v>
      </x:c>
      <x:c r="O276" s="116" t="str">
        <x:v>https://m.blog.naver.com/sntu2010/222039480357</x:v>
      </x:c>
      <x:c r="P276" s="112" t="str">
        <x:v>아니오</x:v>
      </x:c>
      <x:c r="Q276" s="113" t="str">
        <x:v>자동 분류·표본 검토 대상</x:v>
      </x:c>
    </x:row>
    <x:row r="277">
      <x:c r="A277" s="100" t="n">
        <x:v>276</x:v>
      </x:c>
      <x:c r="B277" s="101" t="n">
        <x:v>44031</x:v>
      </x:c>
      <x:c r="C277" s="102" t="n">
        <x:v>2020</x:v>
      </x:c>
      <x:c r="D277" s="103" t="str">
        <x:v>ID-222035467512</x:v>
      </x:c>
      <x:c r="E277" s="112" t="str">
        <x:v>[펌]헌터물이 쓰기 어려운 이유 1~3부</x:v>
      </x:c>
      <x:c r="F277" s="112" t="str">
        <x:v>웹소작법</x:v>
      </x:c>
      <x:c r="G277" s="112" t="str">
        <x:v>웹소설 직접</x:v>
      </x:c>
      <x:c r="H277" s="112" t="str">
        <x:v>초반부/연독률</x:v>
      </x:c>
      <x:c r="I277" s="112" t="n">
        <x:v>5</x:v>
      </x:c>
      <x:c r="J277" s="112" t="str">
        <x:v>초반, 5화, 유료화, 연독</x:v>
      </x:c>
      <x:c r="K277" s="112" t="str">
        <x:v>재게시</x:v>
      </x:c>
      <x:c r="L277" s="112" t="str">
        <x:v>높음</x:v>
      </x:c>
      <x:c r="M277" s="112" t="str">
        <x:v>제목의 펌/퍼옴 표시</x:v>
      </x:c>
      <x:c r="N277" s="116" t="str">
        <x:v>https://gall.dcinside.com/mgallery/board/view/?id=tgijjdd&amp;no=352030&amp;_rk=9qe&amp;s_type=search_all&amp;s_keyword=%ED%97%8C%ED%84%B0%EB%AC%BC&amp;page=1</x:v>
      </x:c>
      <x:c r="O277" s="116" t="str">
        <x:v>https://m.blog.naver.com/sntu2010/222035467512</x:v>
      </x:c>
      <x:c r="P277" s="112" t="str">
        <x:v>아니오</x:v>
      </x:c>
      <x:c r="Q277" s="113" t="str">
        <x:v>자동 분류·표본 검토 대상</x:v>
      </x:c>
    </x:row>
    <x:row r="278">
      <x:c r="A278" s="100" t="n">
        <x:v>277</x:v>
      </x:c>
      <x:c r="B278" s="101" t="n">
        <x:v>44029</x:v>
      </x:c>
      <x:c r="C278" s="102" t="n">
        <x:v>2020</x:v>
      </x:c>
      <x:c r="D278" s="103" t="str">
        <x:v>ID-222033537091</x:v>
      </x:c>
      <x:c r="E278" s="112" t="str">
        <x:v>[펌]웹소설 연재 갤러리 작법 노하우</x:v>
      </x:c>
      <x:c r="F278" s="112" t="str">
        <x:v>웹소작법</x:v>
      </x:c>
      <x:c r="G278" s="112" t="str">
        <x:v>웹소설 직접</x:v>
      </x:c>
      <x:c r="H278" s="112" t="str">
        <x:v>작법·상업성</x:v>
      </x:c>
      <x:c r="I278" s="112" t="n">
        <x:v>28</x:v>
      </x:c>
      <x:c r="J278" s="112" t="str">
        <x:v>작법, 소개글, 제목, 독자, 재미, 기대감, 대리만족, 소재</x:v>
      </x:c>
      <x:c r="K278" s="112" t="str">
        <x:v>재게시</x:v>
      </x:c>
      <x:c r="L278" s="112" t="str">
        <x:v>높음</x:v>
      </x:c>
      <x:c r="M278" s="112" t="str">
        <x:v>제목의 펌/퍼옴 표시</x:v>
      </x:c>
      <x:c r="N278" s="116" t="str">
        <x:v>https://gall.dcinside.com/mgallery/board/view/?id=tgijjdd&amp;no=351536&amp;_rk=urT&amp;page=1</x:v>
      </x:c>
      <x:c r="O278" s="116" t="str">
        <x:v>https://m.blog.naver.com/sntu2010/222033537091</x:v>
      </x:c>
      <x:c r="P278" s="112" t="str">
        <x:v>예</x:v>
      </x:c>
      <x:c r="Q278" s="113" t="str">
        <x:v>자동 분류·표본 검토 대상</x:v>
      </x:c>
    </x:row>
    <x:row r="279">
      <x:c r="A279" s="100" t="n">
        <x:v>278</x:v>
      </x:c>
      <x:c r="B279" s="101" t="n">
        <x:v>44028</x:v>
      </x:c>
      <x:c r="C279" s="102" t="n">
        <x:v>2020</x:v>
      </x:c>
      <x:c r="D279" s="103" t="str">
        <x:v>ID-222032422577</x:v>
      </x:c>
      <x:c r="E279" s="112" t="str">
        <x:v>[펌]복잡한 캐릭터 만들려면 2개만 기억해라</x:v>
      </x:c>
      <x:c r="F279" s="112" t="str">
        <x:v>웹소작법</x:v>
      </x:c>
      <x:c r="G279" s="112" t="str">
        <x:v>웹소설 직접</x:v>
      </x:c>
      <x:c r="H279" s="112" t="str">
        <x:v>캐릭터·전개</x:v>
      </x:c>
      <x:c r="I279" s="112" t="n">
        <x:v>28</x:v>
      </x:c>
      <x:c r="J279" s="112" t="str">
        <x:v>캐릭터, 조연</x:v>
      </x:c>
      <x:c r="K279" s="112" t="str">
        <x:v>재게시</x:v>
      </x:c>
      <x:c r="L279" s="112" t="str">
        <x:v>높음</x:v>
      </x:c>
      <x:c r="M279" s="112" t="str">
        <x:v>제목의 펌/퍼옴 표시</x:v>
      </x:c>
      <x:c r="N279" s="116" t="str">
        <x:v>https://gall.dcinside.com/mgallery/board/view/?id=tgijjdd&amp;no=350995&amp;_rk=JRL&amp;page=1</x:v>
      </x:c>
      <x:c r="O279" s="116" t="str">
        <x:v>https://m.blog.naver.com/sntu2010/222032422577</x:v>
      </x:c>
      <x:c r="P279" s="112" t="str">
        <x:v>예</x:v>
      </x:c>
      <x:c r="Q279" s="113" t="str">
        <x:v>자동 분류·표본 검토 대상</x:v>
      </x:c>
    </x:row>
    <x:row r="280">
      <x:c r="A280" s="100" t="n">
        <x:v>279</x:v>
      </x:c>
      <x:c r="B280" s="101" t="n">
        <x:v>44021</x:v>
      </x:c>
      <x:c r="C280" s="102" t="n">
        <x:v>2020</x:v>
      </x:c>
      <x:c r="D280" s="103" t="str">
        <x:v>ID-222025802014</x:v>
      </x:c>
      <x:c r="E280" s="112" t="str">
        <x:v>[펌]중세전장을 기사들이 지배했던 이유</x:v>
      </x:c>
      <x:c r="F280" s="112" t="str">
        <x:v>창작소재</x:v>
      </x:c>
      <x:c r="G280" s="112" t="str">
        <x:v>공통 창작소재</x:v>
      </x:c>
      <x:c r="H280" s="112" t="str">
        <x:v>캐릭터·전개</x:v>
      </x:c>
      <x:c r="I280" s="112" t="n">
        <x:v>3</x:v>
      </x:c>
      <x:c r="J280" s="112" t="str">
        <x:v>인물</x:v>
      </x:c>
      <x:c r="K280" s="112" t="str">
        <x:v>재게시</x:v>
      </x:c>
      <x:c r="L280" s="112" t="str">
        <x:v>높음</x:v>
      </x:c>
      <x:c r="M280" s="112" t="str">
        <x:v>제목의 펌/퍼옴 표시</x:v>
      </x:c>
      <x:c r="N280" s="116" t="str">
        <x:v>http://m.dcinside.com/board/alternative_history/317409</x:v>
      </x:c>
      <x:c r="O280" s="116" t="str">
        <x:v>https://m.blog.naver.com/sntu2010/222025802014</x:v>
      </x:c>
      <x:c r="P280" s="112" t="str">
        <x:v>아니오</x:v>
      </x:c>
      <x:c r="Q280" s="113" t="str">
        <x:v>자동 분류·표본 검토 대상</x:v>
      </x:c>
    </x:row>
    <x:row r="281">
      <x:c r="A281" s="100" t="n">
        <x:v>280</x:v>
      </x:c>
      <x:c r="B281" s="101" t="n">
        <x:v>44019</x:v>
      </x:c>
      <x:c r="C281" s="102" t="n">
        <x:v>2020</x:v>
      </x:c>
      <x:c r="D281" s="103" t="str">
        <x:v>ID-222023631241</x:v>
      </x:c>
      <x:c r="E281" s="112" t="str">
        <x:v>[펌]웹소설 작법 : 누구나 아는 개뻘팁(노쓰우드 작가님)</x:v>
      </x:c>
      <x:c r="F281" s="112" t="str">
        <x:v>웹소작법</x:v>
      </x:c>
      <x:c r="G281" s="112" t="str">
        <x:v>웹소설 직접</x:v>
      </x:c>
      <x:c r="H281" s="112" t="str">
        <x:v>작법·상업성</x:v>
      </x:c>
      <x:c r="I281" s="112" t="n">
        <x:v>28</x:v>
      </x:c>
      <x:c r="J281" s="112" t="str">
        <x:v>작법, 제목, 독자, 기대감, 소개글</x:v>
      </x:c>
      <x:c r="K281" s="112" t="str">
        <x:v>재게시</x:v>
      </x:c>
      <x:c r="L281" s="112" t="str">
        <x:v>높음</x:v>
      </x:c>
      <x:c r="M281" s="112" t="str">
        <x:v>제목의 펌/퍼옴 표시</x:v>
      </x:c>
      <x:c r="N281" s="116" t="str">
        <x:v>https://gall.dcinside.com/mgallery/board/view/?id=tgijjdd&amp;no=346057&amp;_rk=JRL&amp;exception_mode=recommend&amp;page=1</x:v>
      </x:c>
      <x:c r="O281" s="116" t="str">
        <x:v>https://m.blog.naver.com/sntu2010/222023631241</x:v>
      </x:c>
      <x:c r="P281" s="112" t="str">
        <x:v>예</x:v>
      </x:c>
      <x:c r="Q281" s="113" t="str">
        <x:v>자동 분류·표본 검토 대상</x:v>
      </x:c>
    </x:row>
    <x:row r="282">
      <x:c r="A282" s="100" t="n">
        <x:v>281</x:v>
      </x:c>
      <x:c r="B282" s="101" t="n">
        <x:v>44017</x:v>
      </x:c>
      <x:c r="C282" s="102" t="n">
        <x:v>2020</x:v>
      </x:c>
      <x:c r="D282" s="103" t="str">
        <x:v>ID-222021851399</x:v>
      </x:c>
      <x:c r="E282" s="112" t="str">
        <x:v>[펌]웹소설 작법 : 그냥 누구나 다 아는 소소한 tip</x:v>
      </x:c>
      <x:c r="F282" s="112" t="str">
        <x:v>웹소작법</x:v>
      </x:c>
      <x:c r="G282" s="112" t="str">
        <x:v>웹소설 직접</x:v>
      </x:c>
      <x:c r="H282" s="112" t="str">
        <x:v>작법·상업성</x:v>
      </x:c>
      <x:c r="I282" s="112" t="n">
        <x:v>27</x:v>
      </x:c>
      <x:c r="J282" s="112" t="str">
        <x:v>작법, 설정, 고구마, 독자, 기대감, 소재</x:v>
      </x:c>
      <x:c r="K282" s="112" t="str">
        <x:v>재게시</x:v>
      </x:c>
      <x:c r="L282" s="112" t="str">
        <x:v>높음</x:v>
      </x:c>
      <x:c r="M282" s="112" t="str">
        <x:v>제목의 펌/퍼옴 표시</x:v>
      </x:c>
      <x:c r="N282" s="116" t="str">
        <x:v>https://gall.dcinside.com/mgallery/board/view/?id=tgijjdd&amp;no=344628&amp;_rk=EYz&amp;exception_mode=recommend&amp;page=1</x:v>
      </x:c>
      <x:c r="O282" s="116" t="str">
        <x:v>https://m.blog.naver.com/sntu2010/222021851399</x:v>
      </x:c>
      <x:c r="P282" s="112" t="str">
        <x:v>예</x:v>
      </x:c>
      <x:c r="Q282" s="113" t="str">
        <x:v>자동 분류·표본 검토 대상</x:v>
      </x:c>
    </x:row>
    <x:row r="283">
      <x:c r="A283" s="100" t="n">
        <x:v>282</x:v>
      </x:c>
      <x:c r="B283" s="101" t="n">
        <x:v>44015</x:v>
      </x:c>
      <x:c r="C283" s="102" t="n">
        <x:v>2020</x:v>
      </x:c>
      <x:c r="D283" s="103" t="str">
        <x:v>ID-222019768920</x:v>
      </x:c>
      <x:c r="E283" s="112" t="str">
        <x:v>[펌]개인적으로 전투씬 쓰는 법 1~2부</x:v>
      </x:c>
      <x:c r="F283" s="112" t="str">
        <x:v>웹소작법</x:v>
      </x:c>
      <x:c r="G283" s="112" t="str">
        <x:v>웹소설 직접</x:v>
      </x:c>
      <x:c r="H283" s="112" t="str">
        <x:v>작법·상업성</x:v>
      </x:c>
      <x:c r="I283" s="112" t="n">
        <x:v>1</x:v>
      </x:c>
      <x:c r="J283" s="112" t="str">
        <x:v>작법</x:v>
      </x:c>
      <x:c r="K283" s="112" t="str">
        <x:v>재게시</x:v>
      </x:c>
      <x:c r="L283" s="112" t="str">
        <x:v>높음</x:v>
      </x:c>
      <x:c r="M283" s="112" t="str">
        <x:v>제목의 펌/퍼옴 표시</x:v>
      </x:c>
      <x:c r="N283" s="116" t="str">
        <x:v>https://gall.dcinside.com/mgallery/board/view/?id=tgijjdd&amp;no=344150&amp;_rk=CFQ&amp;s_type=search_all&amp;s_keyword=%EC%A0%84%ED%88%AC&amp;page=1</x:v>
      </x:c>
      <x:c r="O283" s="116" t="str">
        <x:v>https://m.blog.naver.com/sntu2010/222019768920</x:v>
      </x:c>
      <x:c r="P283" s="112" t="str">
        <x:v>아니오</x:v>
      </x:c>
      <x:c r="Q283" s="113" t="str">
        <x:v>자동 분류·표본 검토 대상</x:v>
      </x:c>
    </x:row>
    <x:row r="284">
      <x:c r="A284" s="100" t="n">
        <x:v>283</x:v>
      </x:c>
      <x:c r="B284" s="101" t="n">
        <x:v>44012</x:v>
      </x:c>
      <x:c r="C284" s="102" t="n">
        <x:v>2020</x:v>
      </x:c>
      <x:c r="D284" s="103" t="str">
        <x:v>ID-222016705061</x:v>
      </x:c>
      <x:c r="E284" s="112" t="str">
        <x:v>[펌]나름대로 노오력 다 해보고도 안 된 망생이들만 봐라</x:v>
      </x:c>
      <x:c r="F284" s="112" t="str">
        <x:v>웹소작법</x:v>
      </x:c>
      <x:c r="G284" s="112" t="str">
        <x:v>웹소설 직접</x:v>
      </x:c>
      <x:c r="H284" s="112" t="str">
        <x:v>캐릭터·전개</x:v>
      </x:c>
      <x:c r="I284" s="112" t="n">
        <x:v>4</x:v>
      </x:c>
      <x:c r="J284" s="112" t="str">
        <x:v>플롯, 캐릭터, 에피소드</x:v>
      </x:c>
      <x:c r="K284" s="112" t="str">
        <x:v>재게시</x:v>
      </x:c>
      <x:c r="L284" s="112" t="str">
        <x:v>높음</x:v>
      </x:c>
      <x:c r="M284" s="112" t="str">
        <x:v>제목의 펌/퍼옴 표시</x:v>
      </x:c>
      <x:c r="N284" s="116" t="str">
        <x:v>https://gall.dcinside.com/mgallery/board/view/?id=tgijjdd&amp;no=342667&amp;_rk=JRL&amp;page=1</x:v>
      </x:c>
      <x:c r="O284" s="116" t="str">
        <x:v>https://m.blog.naver.com/sntu2010/222016705061</x:v>
      </x:c>
      <x:c r="P284" s="112" t="str">
        <x:v>아니오</x:v>
      </x:c>
      <x:c r="Q284" s="113" t="str">
        <x:v>자동 분류·표본 검토 대상</x:v>
      </x:c>
    </x:row>
    <x:row r="285">
      <x:c r="A285" s="100" t="n">
        <x:v>284</x:v>
      </x:c>
      <x:c r="B285" s="101" t="n">
        <x:v>44012</x:v>
      </x:c>
      <x:c r="C285" s="102" t="n">
        <x:v>2020</x:v>
      </x:c>
      <x:c r="D285" s="103" t="str">
        <x:v>ID-222016497808</x:v>
      </x:c>
      <x:c r="E285" s="112" t="str">
        <x:v>문피아 연재 고민상담 : 투베에 오르려면 시스템을 공략하자!</x:v>
      </x:c>
      <x:c r="F285" s="112" t="str">
        <x:v>웹소생각</x:v>
      </x:c>
      <x:c r="G285" s="112" t="str">
        <x:v>웹소설 직접</x:v>
      </x:c>
      <x:c r="H285" s="112" t="str">
        <x:v>플랫폼·투고·계약</x:v>
      </x:c>
      <x:c r="I285" s="112" t="n">
        <x:v>20</x:v>
      </x:c>
      <x:c r="J285" s="112" t="str">
        <x:v>문피아</x:v>
      </x:c>
      <x:c r="K285" s="112" t="str">
        <x:v>본인 작성/의견 추정</x:v>
      </x:c>
      <x:c r="L285" s="112" t="str">
        <x:v>낮음</x:v>
      </x:c>
      <x:c r="M285" s="112" t="str">
        <x:v>재게시 표시는 없으나 저자성 직접 증거 부족</x:v>
      </x:c>
      <x:c r="N285" s="116" t="str"/>
      <x:c r="O285" s="116" t="str">
        <x:v>https://m.blog.naver.com/sntu2010/222016497808</x:v>
      </x:c>
      <x:c r="P285" s="112" t="str">
        <x:v>예</x:v>
      </x:c>
      <x:c r="Q285" s="113" t="str">
        <x:v>자동 분류·표본 검토 대상</x:v>
      </x:c>
    </x:row>
    <x:row r="286">
      <x:c r="A286" s="100" t="n">
        <x:v>285</x:v>
      </x:c>
      <x:c r="B286" s="101" t="n">
        <x:v>44011</x:v>
      </x:c>
      <x:c r="C286" s="102" t="n">
        <x:v>2020</x:v>
      </x:c>
      <x:c r="D286" s="103" t="str">
        <x:v>ID-222015553547</x:v>
      </x:c>
      <x:c r="E286" s="112" t="str">
        <x:v>웹소설의 진정한 재미는 군상극에서 온다</x:v>
      </x:c>
      <x:c r="F286" s="112" t="str">
        <x:v>웹소생각</x:v>
      </x:c>
      <x:c r="G286" s="112" t="str">
        <x:v>웹소설 직접</x:v>
      </x:c>
      <x:c r="H286" s="112" t="str">
        <x:v>작법·상업성</x:v>
      </x:c>
      <x:c r="I286" s="112" t="n">
        <x:v>24</x:v>
      </x:c>
      <x:c r="J286" s="112" t="str">
        <x:v>재미, 독자</x:v>
      </x:c>
      <x:c r="K286" s="112" t="str">
        <x:v>본인 경험담 추정</x:v>
      </x:c>
      <x:c r="L286" s="112" t="str">
        <x:v>중간</x:v>
      </x:c>
      <x:c r="M286" s="112" t="str">
        <x:v>1인칭 경험·작품·계약 표현</x:v>
      </x:c>
      <x:c r="N286" s="116" t="str"/>
      <x:c r="O286" s="116" t="str">
        <x:v>https://m.blog.naver.com/sntu2010/222015553547</x:v>
      </x:c>
      <x:c r="P286" s="112" t="str">
        <x:v>예</x:v>
      </x:c>
      <x:c r="Q286" s="113" t="str">
        <x:v>자동 분류·표본 검토 대상</x:v>
      </x:c>
    </x:row>
    <x:row r="287">
      <x:c r="A287" s="100" t="n">
        <x:v>286</x:v>
      </x:c>
      <x:c r="B287" s="101" t="n">
        <x:v>44007</x:v>
      </x:c>
      <x:c r="C287" s="102" t="n">
        <x:v>2020</x:v>
      </x:c>
      <x:c r="D287" s="103" t="str">
        <x:v>ID-222012549495</x:v>
      </x:c>
      <x:c r="E287" s="112" t="str">
        <x:v>[펌]만화 작법 : 고이케 카즈오의 캐릭터 신론</x:v>
      </x:c>
      <x:c r="F287" s="112" t="str">
        <x:v>웹툰작법</x:v>
      </x:c>
      <x:c r="G287" s="112" t="str">
        <x:v>웹툰 참고</x:v>
      </x:c>
      <x:c r="H287" s="112" t="str">
        <x:v>작법·상업성</x:v>
      </x:c>
      <x:c r="I287" s="112" t="n">
        <x:v>21</x:v>
      </x:c>
      <x:c r="J287" s="112" t="str">
        <x:v>작법</x:v>
      </x:c>
      <x:c r="K287" s="112" t="str">
        <x:v>재게시</x:v>
      </x:c>
      <x:c r="L287" s="112" t="str">
        <x:v>높음</x:v>
      </x:c>
      <x:c r="M287" s="112" t="str">
        <x:v>제목의 펌/퍼옴 표시</x:v>
      </x:c>
      <x:c r="N287" s="116" t="str">
        <x:v>https://gall.dcinside.com/mgallery/board/view/?id=cartoonist&amp;no=417&amp;_rk=zx3&amp;exception_mode=recommend&amp;page=23</x:v>
      </x:c>
      <x:c r="O287" s="116" t="str">
        <x:v>https://m.blog.naver.com/sntu2010/222012549495</x:v>
      </x:c>
      <x:c r="P287" s="112" t="str">
        <x:v>아니오</x:v>
      </x:c>
      <x:c r="Q287" s="113" t="str">
        <x:v>자동 분류·표본 검토 대상</x:v>
      </x:c>
    </x:row>
    <x:row r="288">
      <x:c r="A288" s="100" t="n">
        <x:v>287</x:v>
      </x:c>
      <x:c r="B288" s="101" t="n">
        <x:v>44007</x:v>
      </x:c>
      <x:c r="C288" s="102" t="n">
        <x:v>2020</x:v>
      </x:c>
      <x:c r="D288" s="103" t="str">
        <x:v>ID-222012548772</x:v>
      </x:c>
      <x:c r="E288" s="112" t="str">
        <x:v>[펌]만화 작법 : 15년간 소설책 100권을 쓴 작가의 글쓰기 조언</x:v>
      </x:c>
      <x:c r="F288" s="112" t="str">
        <x:v>웹툰작법</x:v>
      </x:c>
      <x:c r="G288" s="112" t="str">
        <x:v>웹툰 참고</x:v>
      </x:c>
      <x:c r="H288" s="112" t="str">
        <x:v>작법·상업성</x:v>
      </x:c>
      <x:c r="I288" s="112" t="n">
        <x:v>47</x:v>
      </x:c>
      <x:c r="J288" s="112" t="str">
        <x:v>작법, 글쓰기, 장르, 제목</x:v>
      </x:c>
      <x:c r="K288" s="112" t="str">
        <x:v>재게시</x:v>
      </x:c>
      <x:c r="L288" s="112" t="str">
        <x:v>높음</x:v>
      </x:c>
      <x:c r="M288" s="112" t="str">
        <x:v>제목의 펌/퍼옴 표시</x:v>
      </x:c>
      <x:c r="N288" s="116" t="str">
        <x:v>https://gall.dcinside.com/mgallery/board/view/?id=cartoonist&amp;no=3006&amp;_rk=urT&amp;exception_mode=recommend&amp;page=20</x:v>
      </x:c>
      <x:c r="O288" s="116" t="str">
        <x:v>https://m.blog.naver.com/sntu2010/222012548772</x:v>
      </x:c>
      <x:c r="P288" s="112" t="str">
        <x:v>아니오</x:v>
      </x:c>
      <x:c r="Q288" s="113" t="str">
        <x:v>자동 분류·표본 검토 대상</x:v>
      </x:c>
    </x:row>
    <x:row r="289">
      <x:c r="A289" s="100" t="n">
        <x:v>288</x:v>
      </x:c>
      <x:c r="B289" s="101" t="n">
        <x:v>44007</x:v>
      </x:c>
      <x:c r="C289" s="102" t="n">
        <x:v>2020</x:v>
      </x:c>
      <x:c r="D289" s="103" t="str">
        <x:v>ID-222012548167</x:v>
      </x:c>
      <x:c r="E289" s="112" t="str">
        <x:v>[펌]만화 스토리에 있어서 가장 중요한건 감정선임</x:v>
      </x:c>
      <x:c r="F289" s="112" t="str">
        <x:v>웹툰작법</x:v>
      </x:c>
      <x:c r="G289" s="112" t="str">
        <x:v>웹툰 참고</x:v>
      </x:c>
      <x:c r="H289" s="112" t="str">
        <x:v>작법·상업성</x:v>
      </x:c>
      <x:c r="I289" s="112" t="n">
        <x:v>2</x:v>
      </x:c>
      <x:c r="J289" s="112" t="str">
        <x:v>재미, 작법</x:v>
      </x:c>
      <x:c r="K289" s="112" t="str">
        <x:v>재게시</x:v>
      </x:c>
      <x:c r="L289" s="112" t="str">
        <x:v>높음</x:v>
      </x:c>
      <x:c r="M289" s="112" t="str">
        <x:v>제목의 펌/퍼옴 표시</x:v>
      </x:c>
      <x:c r="N289" s="116" t="str">
        <x:v>https://gall.dcinside.com/mgallery/board/view/?id=cartoonist&amp;no=1762&amp;_rk=96k&amp;exception_mode=recommend&amp;page=22</x:v>
      </x:c>
      <x:c r="O289" s="116" t="str">
        <x:v>https://m.blog.naver.com/sntu2010/222012548167</x:v>
      </x:c>
      <x:c r="P289" s="112" t="str">
        <x:v>아니오</x:v>
      </x:c>
      <x:c r="Q289" s="113" t="str">
        <x:v>자동 분류·표본 검토 대상</x:v>
      </x:c>
    </x:row>
    <x:row r="290">
      <x:c r="A290" s="100" t="n">
        <x:v>289</x:v>
      </x:c>
      <x:c r="B290" s="101" t="n">
        <x:v>44007</x:v>
      </x:c>
      <x:c r="C290" s="102" t="n">
        <x:v>2020</x:v>
      </x:c>
      <x:c r="D290" s="103" t="str">
        <x:v>ID-222012547016</x:v>
      </x:c>
      <x:c r="E290" s="112" t="str">
        <x:v>[펌]신인 작가 vs 무라타】진검 질문 배틀~끌어들이는 도입부를 만드는법~</x:v>
      </x:c>
      <x:c r="F290" s="112" t="str">
        <x:v>웹툰작법</x:v>
      </x:c>
      <x:c r="G290" s="112" t="str">
        <x:v>웹툰 참고</x:v>
      </x:c>
      <x:c r="H290" s="112" t="str">
        <x:v>작법·상업성</x:v>
      </x:c>
      <x:c r="I290" s="112" t="n">
        <x:v>3</x:v>
      </x:c>
      <x:c r="J290" s="112" t="str">
        <x:v>재미, 독자, 작법</x:v>
      </x:c>
      <x:c r="K290" s="112" t="str">
        <x:v>재게시</x:v>
      </x:c>
      <x:c r="L290" s="112" t="str">
        <x:v>높음</x:v>
      </x:c>
      <x:c r="M290" s="112" t="str">
        <x:v>제목의 펌/퍼옴 표시</x:v>
      </x:c>
      <x:c r="N290" s="116" t="str">
        <x:v>https://gall.dcinside.com/mgallery/board/view/?id=cartoonist&amp;no=314&amp;_rk=JRL&amp;exception_mode=recommend&amp;page=23</x:v>
      </x:c>
      <x:c r="O290" s="116" t="str">
        <x:v>https://m.blog.naver.com/sntu2010/222012547016</x:v>
      </x:c>
      <x:c r="P290" s="112" t="str">
        <x:v>아니오</x:v>
      </x:c>
      <x:c r="Q290" s="113" t="str">
        <x:v>자동 분류·표본 검토 대상</x:v>
      </x:c>
    </x:row>
    <x:row r="291">
      <x:c r="A291" s="100" t="n">
        <x:v>290</x:v>
      </x:c>
      <x:c r="B291" s="101" t="n">
        <x:v>44007</x:v>
      </x:c>
      <x:c r="C291" s="102" t="n">
        <x:v>2020</x:v>
      </x:c>
      <x:c r="D291" s="103" t="str">
        <x:v>ID-222012545098</x:v>
      </x:c>
      <x:c r="E291" s="112" t="str">
        <x:v>[펌]만화 작법 : 연출 간단한 팁</x:v>
      </x:c>
      <x:c r="F291" s="112" t="str">
        <x:v>웹툰작법</x:v>
      </x:c>
      <x:c r="G291" s="112" t="str">
        <x:v>웹툰 참고</x:v>
      </x:c>
      <x:c r="H291" s="112" t="str">
        <x:v>작법·상업성</x:v>
      </x:c>
      <x:c r="I291" s="112" t="n">
        <x:v>21</x:v>
      </x:c>
      <x:c r="J291" s="112" t="str">
        <x:v>작법</x:v>
      </x:c>
      <x:c r="K291" s="112" t="str">
        <x:v>재게시</x:v>
      </x:c>
      <x:c r="L291" s="112" t="str">
        <x:v>높음</x:v>
      </x:c>
      <x:c r="M291" s="112" t="str">
        <x:v>제목의 펌/퍼옴 표시</x:v>
      </x:c>
      <x:c r="N291" s="116" t="str">
        <x:v>https://gall.dcinside.com/mgallery/board/view/?id=cartoonist&amp;no=1720&amp;_rk=CFQ&amp;exception_mode=recommend&amp;page=22</x:v>
      </x:c>
      <x:c r="O291" s="116" t="str">
        <x:v>https://m.blog.naver.com/sntu2010/222012545098</x:v>
      </x:c>
      <x:c r="P291" s="112" t="str">
        <x:v>아니오</x:v>
      </x:c>
      <x:c r="Q291" s="113" t="str">
        <x:v>자동 분류·표본 검토 대상</x:v>
      </x:c>
    </x:row>
    <x:row r="292">
      <x:c r="A292" s="100" t="n">
        <x:v>291</x:v>
      </x:c>
      <x:c r="B292" s="101" t="n">
        <x:v>44007</x:v>
      </x:c>
      <x:c r="C292" s="102" t="n">
        <x:v>2020</x:v>
      </x:c>
      <x:c r="D292" s="103" t="str">
        <x:v>ID-222012543482</x:v>
      </x:c>
      <x:c r="E292" s="112" t="str">
        <x:v>[펌]만화 작법 : 소년만화란 성장이다</x:v>
      </x:c>
      <x:c r="F292" s="112" t="str">
        <x:v>웹툰작법</x:v>
      </x:c>
      <x:c r="G292" s="112" t="str">
        <x:v>웹툰 참고</x:v>
      </x:c>
      <x:c r="H292" s="112" t="str">
        <x:v>작법·상업성</x:v>
      </x:c>
      <x:c r="I292" s="112" t="n">
        <x:v>21</x:v>
      </x:c>
      <x:c r="J292" s="112" t="str">
        <x:v>작법</x:v>
      </x:c>
      <x:c r="K292" s="112" t="str">
        <x:v>재게시</x:v>
      </x:c>
      <x:c r="L292" s="112" t="str">
        <x:v>높음</x:v>
      </x:c>
      <x:c r="M292" s="112" t="str">
        <x:v>제목의 펌/퍼옴 표시</x:v>
      </x:c>
      <x:c r="N292" s="116" t="str">
        <x:v>https://gall.dcinside.com/mgallery/board/view/?id=cartoonist&amp;no=2013&amp;_rk=EYz&amp;exception_mode=recommend&amp;page=21</x:v>
      </x:c>
      <x:c r="O292" s="116" t="str">
        <x:v>https://m.blog.naver.com/sntu2010/222012543482</x:v>
      </x:c>
      <x:c r="P292" s="112" t="str">
        <x:v>아니오</x:v>
      </x:c>
      <x:c r="Q292" s="113" t="str">
        <x:v>자동 분류·표본 검토 대상</x:v>
      </x:c>
    </x:row>
    <x:row r="293">
      <x:c r="A293" s="100" t="n">
        <x:v>292</x:v>
      </x:c>
      <x:c r="B293" s="101" t="n">
        <x:v>44007</x:v>
      </x:c>
      <x:c r="C293" s="102" t="n">
        <x:v>2020</x:v>
      </x:c>
      <x:c r="D293" s="103" t="str">
        <x:v>ID-222012539564</x:v>
      </x:c>
      <x:c r="E293" s="112" t="str">
        <x:v>[펌]그림실력 팁 (긴글 주의, 최근에 깨달은 부분을 나누고 싶음)</x:v>
      </x:c>
      <x:c r="F293" s="112" t="str">
        <x:v>웹툰작법</x:v>
      </x:c>
      <x:c r="G293" s="112" t="str">
        <x:v>웹툰 참고</x:v>
      </x:c>
      <x:c r="H293" s="112" t="str">
        <x:v>작법·상업성</x:v>
      </x:c>
      <x:c r="I293" s="112" t="n">
        <x:v>2</x:v>
      </x:c>
      <x:c r="J293" s="112" t="str">
        <x:v>묘사, 작법</x:v>
      </x:c>
      <x:c r="K293" s="112" t="str">
        <x:v>재게시</x:v>
      </x:c>
      <x:c r="L293" s="112" t="str">
        <x:v>높음</x:v>
      </x:c>
      <x:c r="M293" s="112" t="str">
        <x:v>제목의 펌/퍼옴 표시</x:v>
      </x:c>
      <x:c r="N293" s="116" t="str">
        <x:v>https://gall.dcinside.com/mgallery/board/view/?id=cartoonist&amp;no=5926&amp;_rk=urT&amp;exception_mode=recommend&amp;page=17</x:v>
      </x:c>
      <x:c r="O293" s="116" t="str">
        <x:v>https://m.blog.naver.com/sntu2010/222012539564</x:v>
      </x:c>
      <x:c r="P293" s="112" t="str">
        <x:v>아니오</x:v>
      </x:c>
      <x:c r="Q293" s="113" t="str">
        <x:v>자동 분류·표본 검토 대상</x:v>
      </x:c>
    </x:row>
    <x:row r="294">
      <x:c r="A294" s="100" t="n">
        <x:v>293</x:v>
      </x:c>
      <x:c r="B294" s="101" t="n">
        <x:v>44007</x:v>
      </x:c>
      <x:c r="C294" s="102" t="n">
        <x:v>2020</x:v>
      </x:c>
      <x:c r="D294" s="103" t="str">
        <x:v>ID-222012535341</x:v>
      </x:c>
      <x:c r="E294" s="112" t="str">
        <x:v>[펌]무라타 유스케(村田雄介)가 말하는 그림 연습</x:v>
      </x:c>
      <x:c r="F294" s="112" t="str">
        <x:v>웹툰작법</x:v>
      </x:c>
      <x:c r="G294" s="112" t="str">
        <x:v>웹툰 참고</x:v>
      </x:c>
      <x:c r="H294" s="112" t="str">
        <x:v>작법·상업성</x:v>
      </x:c>
      <x:c r="I294" s="112" t="n">
        <x:v>1</x:v>
      </x:c>
      <x:c r="J294" s="112" t="str">
        <x:v>작법</x:v>
      </x:c>
      <x:c r="K294" s="112" t="str">
        <x:v>재게시</x:v>
      </x:c>
      <x:c r="L294" s="112" t="str">
        <x:v>높음</x:v>
      </x:c>
      <x:c r="M294" s="112" t="str">
        <x:v>제목의 펌/퍼옴 표시</x:v>
      </x:c>
      <x:c r="N294" s="116" t="str">
        <x:v>https://gall.dcinside.com/mgallery/board/view/?id=cartoonist&amp;no=5554&amp;_rk=JRL&amp;exception_mode=recommend&amp;page=17</x:v>
      </x:c>
      <x:c r="O294" s="116" t="str">
        <x:v>https://m.blog.naver.com/sntu2010/222012535341</x:v>
      </x:c>
      <x:c r="P294" s="112" t="str">
        <x:v>아니오</x:v>
      </x:c>
      <x:c r="Q294" s="113" t="str">
        <x:v>자동 분류·표본 검토 대상</x:v>
      </x:c>
    </x:row>
    <x:row r="295">
      <x:c r="A295" s="100" t="n">
        <x:v>294</x:v>
      </x:c>
      <x:c r="B295" s="101" t="n">
        <x:v>44007</x:v>
      </x:c>
      <x:c r="C295" s="102" t="n">
        <x:v>2020</x:v>
      </x:c>
      <x:c r="D295" s="103" t="str">
        <x:v>ID-222012529195</x:v>
      </x:c>
      <x:c r="E295" s="112" t="str">
        <x:v>[펌]만화 작법 : 스토리가 막힌 사람들은 보셈</x:v>
      </x:c>
      <x:c r="F295" s="112" t="str">
        <x:v>웹툰작법</x:v>
      </x:c>
      <x:c r="G295" s="112" t="str">
        <x:v>웹툰 참고</x:v>
      </x:c>
      <x:c r="H295" s="112" t="str">
        <x:v>작법·상업성</x:v>
      </x:c>
      <x:c r="I295" s="112" t="n">
        <x:v>21</x:v>
      </x:c>
      <x:c r="J295" s="112" t="str">
        <x:v>작법</x:v>
      </x:c>
      <x:c r="K295" s="112" t="str">
        <x:v>재게시</x:v>
      </x:c>
      <x:c r="L295" s="112" t="str">
        <x:v>높음</x:v>
      </x:c>
      <x:c r="M295" s="112" t="str">
        <x:v>제목의 펌/퍼옴 표시</x:v>
      </x:c>
      <x:c r="N295" s="116" t="str">
        <x:v>https://gall.dcinside.com/mgallery/board/view/?id=cartoonist&amp;no=7622&amp;_rk=96k&amp;exception_mode=recommend&amp;page=15</x:v>
      </x:c>
      <x:c r="O295" s="116" t="str">
        <x:v>https://m.blog.naver.com/sntu2010/222012529195</x:v>
      </x:c>
      <x:c r="P295" s="112" t="str">
        <x:v>아니오</x:v>
      </x:c>
      <x:c r="Q295" s="113" t="str">
        <x:v>자동 분류·표본 검토 대상</x:v>
      </x:c>
    </x:row>
    <x:row r="296">
      <x:c r="A296" s="100" t="n">
        <x:v>295</x:v>
      </x:c>
      <x:c r="B296" s="101" t="n">
        <x:v>44007</x:v>
      </x:c>
      <x:c r="C296" s="102" t="n">
        <x:v>2020</x:v>
      </x:c>
      <x:c r="D296" s="103" t="str">
        <x:v>ID-222012525201</x:v>
      </x:c>
      <x:c r="E296" s="112" t="str">
        <x:v>[펌]왕초보용 선긋는 연습하는법</x:v>
      </x:c>
      <x:c r="F296" s="112" t="str">
        <x:v>웹툰작법</x:v>
      </x:c>
      <x:c r="G296" s="112" t="str">
        <x:v>웹툰 참고</x:v>
      </x:c>
      <x:c r="H296" s="112" t="str">
        <x:v>작법·상업성</x:v>
      </x:c>
      <x:c r="I296" s="112" t="n">
        <x:v>1</x:v>
      </x:c>
      <x:c r="J296" s="112" t="str">
        <x:v>작법</x:v>
      </x:c>
      <x:c r="K296" s="112" t="str">
        <x:v>재게시</x:v>
      </x:c>
      <x:c r="L296" s="112" t="str">
        <x:v>높음</x:v>
      </x:c>
      <x:c r="M296" s="112" t="str">
        <x:v>제목의 펌/퍼옴 표시</x:v>
      </x:c>
      <x:c r="N296" s="116" t="str">
        <x:v>https://gall.dcinside.com/mgallery/board/view/?id=cartoonist&amp;no=11080&amp;_rk=CFQ&amp;exception_mode=recommend&amp;page=12</x:v>
      </x:c>
      <x:c r="O296" s="116" t="str">
        <x:v>https://m.blog.naver.com/sntu2010/222012525201</x:v>
      </x:c>
      <x:c r="P296" s="112" t="str">
        <x:v>아니오</x:v>
      </x:c>
      <x:c r="Q296" s="113" t="str">
        <x:v>자동 분류·표본 검토 대상</x:v>
      </x:c>
    </x:row>
    <x:row r="297">
      <x:c r="A297" s="100" t="n">
        <x:v>296</x:v>
      </x:c>
      <x:c r="B297" s="101" t="n">
        <x:v>44007</x:v>
      </x:c>
      <x:c r="C297" s="102" t="n">
        <x:v>2020</x:v>
      </x:c>
      <x:c r="D297" s="103" t="str">
        <x:v>ID-222012521470</x:v>
      </x:c>
      <x:c r="E297" s="112" t="str">
        <x:v>[펌]만화에 도움이 될 구도에 대한 정보</x:v>
      </x:c>
      <x:c r="F297" s="112" t="str">
        <x:v>웹툰작법</x:v>
      </x:c>
      <x:c r="G297" s="112" t="str">
        <x:v>웹툰 참고</x:v>
      </x:c>
      <x:c r="H297" s="112" t="str">
        <x:v>작법·상업성</x:v>
      </x:c>
      <x:c r="I297" s="112" t="n">
        <x:v>1</x:v>
      </x:c>
      <x:c r="J297" s="112" t="str">
        <x:v>작법</x:v>
      </x:c>
      <x:c r="K297" s="112" t="str">
        <x:v>재게시</x:v>
      </x:c>
      <x:c r="L297" s="112" t="str">
        <x:v>높음</x:v>
      </x:c>
      <x:c r="M297" s="112" t="str">
        <x:v>제목의 펌/퍼옴 표시</x:v>
      </x:c>
      <x:c r="N297" s="116" t="str">
        <x:v>https://gall.dcinside.com/mgallery/board/view/?id=cartoonist&amp;no=12780&amp;_rk=CFQ&amp;exception_mode=recommend&amp;page=11</x:v>
      </x:c>
      <x:c r="O297" s="116" t="str">
        <x:v>https://m.blog.naver.com/sntu2010/222012521470</x:v>
      </x:c>
      <x:c r="P297" s="112" t="str">
        <x:v>아니오</x:v>
      </x:c>
      <x:c r="Q297" s="113" t="str">
        <x:v>자동 분류·표본 검토 대상</x:v>
      </x:c>
    </x:row>
    <x:row r="298">
      <x:c r="A298" s="100" t="n">
        <x:v>297</x:v>
      </x:c>
      <x:c r="B298" s="101" t="n">
        <x:v>44007</x:v>
      </x:c>
      <x:c r="C298" s="102" t="n">
        <x:v>2020</x:v>
      </x:c>
      <x:c r="D298" s="103" t="str">
        <x:v>ID-222012519448</x:v>
      </x:c>
      <x:c r="E298" s="112" t="str">
        <x:v>[펌]만화 작법 : 작업과정 간략히 올려봄</x:v>
      </x:c>
      <x:c r="F298" s="112" t="str">
        <x:v>웹툰작법</x:v>
      </x:c>
      <x:c r="G298" s="112" t="str">
        <x:v>웹툰 참고</x:v>
      </x:c>
      <x:c r="H298" s="112" t="str">
        <x:v>작법·상업성</x:v>
      </x:c>
      <x:c r="I298" s="112" t="n">
        <x:v>21</x:v>
      </x:c>
      <x:c r="J298" s="112" t="str">
        <x:v>작법</x:v>
      </x:c>
      <x:c r="K298" s="112" t="str">
        <x:v>재게시</x:v>
      </x:c>
      <x:c r="L298" s="112" t="str">
        <x:v>높음</x:v>
      </x:c>
      <x:c r="M298" s="112" t="str">
        <x:v>제목의 펌/퍼옴 표시</x:v>
      </x:c>
      <x:c r="N298" s="116" t="str">
        <x:v>https://gall.dcinside.com/mgallery/board/view/?id=cartoonist&amp;no=14146&amp;_rk=urT&amp;exception_mode=recommend&amp;page=10</x:v>
      </x:c>
      <x:c r="O298" s="116" t="str">
        <x:v>https://m.blog.naver.com/sntu2010/222012519448</x:v>
      </x:c>
      <x:c r="P298" s="112" t="str">
        <x:v>아니오</x:v>
      </x:c>
      <x:c r="Q298" s="113" t="str">
        <x:v>자동 분류·표본 검토 대상</x:v>
      </x:c>
    </x:row>
    <x:row r="299">
      <x:c r="A299" s="100" t="n">
        <x:v>298</x:v>
      </x:c>
      <x:c r="B299" s="101" t="n">
        <x:v>44007</x:v>
      </x:c>
      <x:c r="C299" s="102" t="n">
        <x:v>2020</x:v>
      </x:c>
      <x:c r="D299" s="103" t="str">
        <x:v>ID-222012516098</x:v>
      </x:c>
      <x:c r="E299" s="112" t="str">
        <x:v>[펌]스케치업 보정 방식</x:v>
      </x:c>
      <x:c r="F299" s="112" t="str">
        <x:v>웹툰작법</x:v>
      </x:c>
      <x:c r="G299" s="112" t="str">
        <x:v>웹툰 참고</x:v>
      </x:c>
      <x:c r="H299" s="112" t="str">
        <x:v>캐릭터·전개</x:v>
      </x:c>
      <x:c r="I299" s="112" t="n">
        <x:v>1</x:v>
      </x:c>
      <x:c r="J299" s="112" t="str">
        <x:v>주인공</x:v>
      </x:c>
      <x:c r="K299" s="112" t="str">
        <x:v>재게시</x:v>
      </x:c>
      <x:c r="L299" s="112" t="str">
        <x:v>높음</x:v>
      </x:c>
      <x:c r="M299" s="112" t="str">
        <x:v>제목의 펌/퍼옴 표시</x:v>
      </x:c>
      <x:c r="N299" s="116" t="str">
        <x:v>https://gall.dcinside.com/mgallery/board/view/?id=cartoonist&amp;no=15523&amp;_rk=EYz&amp;exception_mode=recommend&amp;page=9</x:v>
      </x:c>
      <x:c r="O299" s="116" t="str">
        <x:v>https://m.blog.naver.com/sntu2010/222012516098</x:v>
      </x:c>
      <x:c r="P299" s="112" t="str">
        <x:v>아니오</x:v>
      </x:c>
      <x:c r="Q299" s="113" t="str">
        <x:v>자동 분류·표본 검토 대상</x:v>
      </x:c>
    </x:row>
    <x:row r="300">
      <x:c r="A300" s="100" t="n">
        <x:v>299</x:v>
      </x:c>
      <x:c r="B300" s="101" t="n">
        <x:v>44007</x:v>
      </x:c>
      <x:c r="C300" s="102" t="n">
        <x:v>2020</x:v>
      </x:c>
      <x:c r="D300" s="103" t="str">
        <x:v>ID-222012510943</x:v>
      </x:c>
      <x:c r="E300" s="112" t="str">
        <x:v>[펌]만화 공부 혼자서 하는 법 1~2부</x:v>
      </x:c>
      <x:c r="F300" s="112" t="str">
        <x:v>웹툰작법</x:v>
      </x:c>
      <x:c r="G300" s="112" t="str">
        <x:v>웹툰 참고</x:v>
      </x:c>
      <x:c r="H300" s="112" t="str">
        <x:v>작법·상업성</x:v>
      </x:c>
      <x:c r="I300" s="112" t="n">
        <x:v>3</x:v>
      </x:c>
      <x:c r="J300" s="112" t="str">
        <x:v>독자, 작법</x:v>
      </x:c>
      <x:c r="K300" s="112" t="str">
        <x:v>재게시</x:v>
      </x:c>
      <x:c r="L300" s="112" t="str">
        <x:v>높음</x:v>
      </x:c>
      <x:c r="M300" s="112" t="str">
        <x:v>제목의 펌/퍼옴 표시</x:v>
      </x:c>
      <x:c r="N300" s="116" t="str">
        <x:v>https://gall.dcinside.com/mgallery/board/view/?id=cartoonist&amp;no=16841&amp;_rk=tDL&amp;exception_mode=recommend&amp;page=8</x:v>
      </x:c>
      <x:c r="O300" s="116" t="str">
        <x:v>https://m.blog.naver.com/sntu2010/222012510943</x:v>
      </x:c>
      <x:c r="P300" s="112" t="str">
        <x:v>아니오</x:v>
      </x:c>
      <x:c r="Q300" s="113" t="str">
        <x:v>자동 분류·표본 검토 대상</x:v>
      </x:c>
    </x:row>
    <x:row r="301">
      <x:c r="A301" s="100" t="n">
        <x:v>300</x:v>
      </x:c>
      <x:c r="B301" s="101" t="n">
        <x:v>44007</x:v>
      </x:c>
      <x:c r="C301" s="102" t="n">
        <x:v>2020</x:v>
      </x:c>
      <x:c r="D301" s="103" t="str">
        <x:v>ID-222012509096</x:v>
      </x:c>
      <x:c r="E301" s="112" t="str">
        <x:v>[펌]트위터에서 주운 배경 그리는 법</x:v>
      </x:c>
      <x:c r="F301" s="112" t="str">
        <x:v>웹툰작법</x:v>
      </x:c>
      <x:c r="G301" s="112" t="str">
        <x:v>웹툰 참고</x:v>
      </x:c>
      <x:c r="H301" s="112" t="str">
        <x:v>작법·상업성</x:v>
      </x:c>
      <x:c r="I301" s="112" t="n">
        <x:v>1</x:v>
      </x:c>
      <x:c r="J301" s="112" t="str">
        <x:v>작법</x:v>
      </x:c>
      <x:c r="K301" s="112" t="str">
        <x:v>재게시</x:v>
      </x:c>
      <x:c r="L301" s="112" t="str">
        <x:v>높음</x:v>
      </x:c>
      <x:c r="M301" s="112" t="str">
        <x:v>제목의 펌/퍼옴 표시</x:v>
      </x:c>
      <x:c r="N301" s="116" t="str">
        <x:v>https://gall.dcinside.com/mgallery/board/view/?id=cartoonist&amp;no=17527&amp;_rk=zx3&amp;exception_mode=recommend&amp;page=8</x:v>
      </x:c>
      <x:c r="O301" s="116" t="str">
        <x:v>https://m.blog.naver.com/sntu2010/222012509096</x:v>
      </x:c>
      <x:c r="P301" s="112" t="str">
        <x:v>아니오</x:v>
      </x:c>
      <x:c r="Q301" s="113" t="str">
        <x:v>자동 분류·표본 검토 대상</x:v>
      </x:c>
    </x:row>
    <x:row r="302">
      <x:c r="A302" s="100" t="n">
        <x:v>301</x:v>
      </x:c>
      <x:c r="B302" s="101" t="n">
        <x:v>44007</x:v>
      </x:c>
      <x:c r="C302" s="102" t="n">
        <x:v>2020</x:v>
      </x:c>
      <x:c r="D302" s="103" t="str">
        <x:v>ID-222012508174</x:v>
      </x:c>
      <x:c r="E302" s="112" t="str">
        <x:v>[펌]만화 작법 : 12가지 자기 작품 진단법</x:v>
      </x:c>
      <x:c r="F302" s="112" t="str">
        <x:v>웹툰작법</x:v>
      </x:c>
      <x:c r="G302" s="112" t="str">
        <x:v>웹툰 참고</x:v>
      </x:c>
      <x:c r="H302" s="112" t="str">
        <x:v>작법·상업성</x:v>
      </x:c>
      <x:c r="I302" s="112" t="n">
        <x:v>24</x:v>
      </x:c>
      <x:c r="J302" s="112" t="str">
        <x:v>작법, 재미, 문장</x:v>
      </x:c>
      <x:c r="K302" s="112" t="str">
        <x:v>재게시</x:v>
      </x:c>
      <x:c r="L302" s="112" t="str">
        <x:v>높음</x:v>
      </x:c>
      <x:c r="M302" s="112" t="str">
        <x:v>제목의 펌/퍼옴 표시</x:v>
      </x:c>
      <x:c r="N302" s="116" t="str">
        <x:v>https://gall.dcinside.com/mgallery/board/view/?id=cartoonist&amp;no=20294&amp;_rk=JRL&amp;exception_mode=recommend&amp;page=7</x:v>
      </x:c>
      <x:c r="O302" s="116" t="str">
        <x:v>https://m.blog.naver.com/sntu2010/222012508174</x:v>
      </x:c>
      <x:c r="P302" s="112" t="str">
        <x:v>아니오</x:v>
      </x:c>
      <x:c r="Q302" s="113" t="str">
        <x:v>자동 분류·표본 검토 대상</x:v>
      </x:c>
    </x:row>
    <x:row r="303">
      <x:c r="A303" s="100" t="n">
        <x:v>302</x:v>
      </x:c>
      <x:c r="B303" s="101" t="n">
        <x:v>44007</x:v>
      </x:c>
      <x:c r="C303" s="102" t="n">
        <x:v>2020</x:v>
      </x:c>
      <x:c r="D303" s="103" t="str">
        <x:v>ID-222012506617</x:v>
      </x:c>
      <x:c r="E303" s="112" t="str">
        <x:v>[펌]만화 아이디어를 내고, 단편을 만드는 12가지 팁</x:v>
      </x:c>
      <x:c r="F303" s="112" t="str">
        <x:v>웹툰작법</x:v>
      </x:c>
      <x:c r="G303" s="112" t="str">
        <x:v>웹툰 참고</x:v>
      </x:c>
      <x:c r="H303" s="112" t="str">
        <x:v>작법·상업성</x:v>
      </x:c>
      <x:c r="I303" s="112" t="n">
        <x:v>5</x:v>
      </x:c>
      <x:c r="J303" s="112" t="str">
        <x:v>설정, 문장, 작법</x:v>
      </x:c>
      <x:c r="K303" s="112" t="str">
        <x:v>재게시</x:v>
      </x:c>
      <x:c r="L303" s="112" t="str">
        <x:v>높음</x:v>
      </x:c>
      <x:c r="M303" s="112" t="str">
        <x:v>제목의 펌/퍼옴 표시</x:v>
      </x:c>
      <x:c r="N303" s="116" t="str">
        <x:v>https://gall.dcinside.com/mgallery/board/view/?id=cartoonist&amp;no=20627&amp;_rk=zx3&amp;exception_mode=recommend&amp;page=7</x:v>
      </x:c>
      <x:c r="O303" s="116" t="str">
        <x:v>https://m.blog.naver.com/sntu2010/222012506617</x:v>
      </x:c>
      <x:c r="P303" s="112" t="str">
        <x:v>아니오</x:v>
      </x:c>
      <x:c r="Q303" s="113" t="str">
        <x:v>자동 분류·표본 검토 대상</x:v>
      </x:c>
    </x:row>
    <x:row r="304">
      <x:c r="A304" s="100" t="n">
        <x:v>303</x:v>
      </x:c>
      <x:c r="B304" s="101" t="n">
        <x:v>44007</x:v>
      </x:c>
      <x:c r="C304" s="102" t="n">
        <x:v>2020</x:v>
      </x:c>
      <x:c r="D304" s="103" t="str">
        <x:v>ID-222012504760</x:v>
      </x:c>
      <x:c r="E304" s="112" t="str">
        <x:v>[펌]전기톱맨 작가 인터뷰+만화강좌 번역</x:v>
      </x:c>
      <x:c r="F304" s="112" t="str">
        <x:v>웹툰작법</x:v>
      </x:c>
      <x:c r="G304" s="112" t="str">
        <x:v>웹툰 참고</x:v>
      </x:c>
      <x:c r="H304" s="112" t="str">
        <x:v>수익·운영</x:v>
      </x:c>
      <x:c r="I304" s="112" t="n">
        <x:v>2</x:v>
      </x:c>
      <x:c r="J304" s="112" t="str">
        <x:v>생활비, 금액</x:v>
      </x:c>
      <x:c r="K304" s="112" t="str">
        <x:v>재게시</x:v>
      </x:c>
      <x:c r="L304" s="112" t="str">
        <x:v>높음</x:v>
      </x:c>
      <x:c r="M304" s="112" t="str">
        <x:v>제목의 펌/퍼옴 표시</x:v>
      </x:c>
      <x:c r="N304" s="116" t="str">
        <x:v>https://gall.dcinside.com/mgallery/board/view/?id=cartoonist&amp;no=20726&amp;_rk=urT&amp;exception_mode=recommend&amp;page=7</x:v>
      </x:c>
      <x:c r="O304" s="116" t="str">
        <x:v>https://m.blog.naver.com/sntu2010/222012504760</x:v>
      </x:c>
      <x:c r="P304" s="112" t="str">
        <x:v>아니오</x:v>
      </x:c>
      <x:c r="Q304" s="113" t="str">
        <x:v>자동 분류·표본 검토 대상</x:v>
      </x:c>
    </x:row>
    <x:row r="305">
      <x:c r="A305" s="100" t="n">
        <x:v>304</x:v>
      </x:c>
      <x:c r="B305" s="101" t="n">
        <x:v>44007</x:v>
      </x:c>
      <x:c r="C305" s="102" t="n">
        <x:v>2020</x:v>
      </x:c>
      <x:c r="D305" s="103" t="str">
        <x:v>ID-222012503340</x:v>
      </x:c>
      <x:c r="E305" s="112" t="str">
        <x:v>[펌]만화 연출 팁 몇 가지</x:v>
      </x:c>
      <x:c r="F305" s="112" t="str">
        <x:v>웹툰작법</x:v>
      </x:c>
      <x:c r="G305" s="112" t="str">
        <x:v>웹툰 참고</x:v>
      </x:c>
      <x:c r="H305" s="112" t="str">
        <x:v>작법·상업성</x:v>
      </x:c>
      <x:c r="I305" s="112" t="n">
        <x:v>1</x:v>
      </x:c>
      <x:c r="J305" s="112" t="str">
        <x:v>작법</x:v>
      </x:c>
      <x:c r="K305" s="112" t="str">
        <x:v>재게시</x:v>
      </x:c>
      <x:c r="L305" s="112" t="str">
        <x:v>높음</x:v>
      </x:c>
      <x:c r="M305" s="112" t="str">
        <x:v>제목의 펌/퍼옴 표시</x:v>
      </x:c>
      <x:c r="N305" s="116" t="str">
        <x:v>https://gall.dcinside.com/mgallery/board/view/?id=cartoonist&amp;no=23027&amp;_rk=zx3&amp;exception_mode=recommend&amp;page=7</x:v>
      </x:c>
      <x:c r="O305" s="116" t="str">
        <x:v>https://m.blog.naver.com/sntu2010/222012503340</x:v>
      </x:c>
      <x:c r="P305" s="112" t="str">
        <x:v>아니오</x:v>
      </x:c>
      <x:c r="Q305" s="113" t="str">
        <x:v>자동 분류·표본 검토 대상</x:v>
      </x:c>
    </x:row>
    <x:row r="306">
      <x:c r="A306" s="100" t="n">
        <x:v>305</x:v>
      </x:c>
      <x:c r="B306" s="101" t="n">
        <x:v>44007</x:v>
      </x:c>
      <x:c r="C306" s="102" t="n">
        <x:v>2020</x:v>
      </x:c>
      <x:c r="D306" s="103" t="str">
        <x:v>ID-222012501665</x:v>
      </x:c>
      <x:c r="E306" s="112" t="str">
        <x:v>[펌]일곱 개의 대죄 작가가 말하는 최고의 만화 연습법</x:v>
      </x:c>
      <x:c r="F306" s="112" t="str">
        <x:v>웹툰작법</x:v>
      </x:c>
      <x:c r="G306" s="112" t="str">
        <x:v>웹툰 참고</x:v>
      </x:c>
      <x:c r="H306" s="112" t="str">
        <x:v>작법·상업성</x:v>
      </x:c>
      <x:c r="I306" s="112" t="n">
        <x:v>1</x:v>
      </x:c>
      <x:c r="J306" s="112" t="str">
        <x:v>작법</x:v>
      </x:c>
      <x:c r="K306" s="112" t="str">
        <x:v>재게시</x:v>
      </x:c>
      <x:c r="L306" s="112" t="str">
        <x:v>높음</x:v>
      </x:c>
      <x:c r="M306" s="112" t="str">
        <x:v>제목의 펌/퍼옴 표시</x:v>
      </x:c>
      <x:c r="N306" s="116" t="str">
        <x:v>https://gall.dcinside.com/mgallery/board/view/?id=cartoonist&amp;no=23903&amp;_rk=EYz&amp;exception_mode=recommend&amp;page=6</x:v>
      </x:c>
      <x:c r="O306" s="116" t="str">
        <x:v>https://m.blog.naver.com/sntu2010/222012501665</x:v>
      </x:c>
      <x:c r="P306" s="112" t="str">
        <x:v>아니오</x:v>
      </x:c>
      <x:c r="Q306" s="113" t="str">
        <x:v>자동 분류·표본 검토 대상</x:v>
      </x:c>
    </x:row>
    <x:row r="307">
      <x:c r="A307" s="100" t="n">
        <x:v>306</x:v>
      </x:c>
      <x:c r="B307" s="101" t="n">
        <x:v>44007</x:v>
      </x:c>
      <x:c r="C307" s="102" t="n">
        <x:v>2020</x:v>
      </x:c>
      <x:c r="D307" s="103" t="str">
        <x:v>ID-222012500610</x:v>
      </x:c>
      <x:c r="E307" s="112" t="str">
        <x:v>[펌]작가에게 묻다) 더파이팅의 박력은 어디에서 오는가?</x:v>
      </x:c>
      <x:c r="F307" s="112" t="str">
        <x:v>웹툰작법</x:v>
      </x:c>
      <x:c r="G307" s="112" t="str">
        <x:v>웹툰 참고</x:v>
      </x:c>
      <x:c r="H307" s="112" t="str">
        <x:v>작법·상업성</x:v>
      </x:c>
      <x:c r="I307" s="112" t="n">
        <x:v>1</x:v>
      </x:c>
      <x:c r="J307" s="112" t="str">
        <x:v>작법</x:v>
      </x:c>
      <x:c r="K307" s="112" t="str">
        <x:v>재게시</x:v>
      </x:c>
      <x:c r="L307" s="112" t="str">
        <x:v>높음</x:v>
      </x:c>
      <x:c r="M307" s="112" t="str">
        <x:v>제목의 펌/퍼옴 표시</x:v>
      </x:c>
      <x:c r="N307" s="116" t="str">
        <x:v>https://gall.dcinside.com/mgallery/board/view/?id=cartoonist&amp;no=23902&amp;_rk=96k&amp;exception_mode=recommend&amp;page=6</x:v>
      </x:c>
      <x:c r="O307" s="116" t="str">
        <x:v>https://m.blog.naver.com/sntu2010/222012500610</x:v>
      </x:c>
      <x:c r="P307" s="112" t="str">
        <x:v>아니오</x:v>
      </x:c>
      <x:c r="Q307" s="113" t="str">
        <x:v>자동 분류·표본 검토 대상</x:v>
      </x:c>
    </x:row>
    <x:row r="308">
      <x:c r="A308" s="100" t="n">
        <x:v>307</x:v>
      </x:c>
      <x:c r="B308" s="101" t="n">
        <x:v>44007</x:v>
      </x:c>
      <x:c r="C308" s="102" t="n">
        <x:v>2020</x:v>
      </x:c>
      <x:c r="D308" s="103" t="str">
        <x:v>ID-222012491601</x:v>
      </x:c>
      <x:c r="E308" s="112" t="str">
        <x:v>[펌]진짜 웹툰 작가 되고 싶은 사람은 보셈</x:v>
      </x:c>
      <x:c r="F308" s="112" t="str">
        <x:v>웹툰작법</x:v>
      </x:c>
      <x:c r="G308" s="112" t="str">
        <x:v>웹툰 참고</x:v>
      </x:c>
      <x:c r="H308" s="112" t="str">
        <x:v>플랫폼·투고·계약</x:v>
      </x:c>
      <x:c r="I308" s="112" t="n">
        <x:v>2</x:v>
      </x:c>
      <x:c r="J308" s="112" t="str">
        <x:v>플랫폼, 네이버</x:v>
      </x:c>
      <x:c r="K308" s="112" t="str">
        <x:v>재게시</x:v>
      </x:c>
      <x:c r="L308" s="112" t="str">
        <x:v>높음</x:v>
      </x:c>
      <x:c r="M308" s="112" t="str">
        <x:v>제목의 펌/퍼옴 표시</x:v>
      </x:c>
      <x:c r="N308" s="116" t="str">
        <x:v>https://gall.dcinside.com/mgallery/board/view/?id=cartoonist&amp;no=34889&amp;_rk=ArW&amp;exception_mode=recommend&amp;page=1</x:v>
      </x:c>
      <x:c r="O308" s="116" t="str">
        <x:v>https://m.blog.naver.com/sntu2010/222012491601</x:v>
      </x:c>
      <x:c r="P308" s="112" t="str">
        <x:v>아니오</x:v>
      </x:c>
      <x:c r="Q308" s="113" t="str">
        <x:v>자동 분류·표본 검토 대상</x:v>
      </x:c>
    </x:row>
    <x:row r="309">
      <x:c r="A309" s="100" t="n">
        <x:v>308</x:v>
      </x:c>
      <x:c r="B309" s="101" t="n">
        <x:v>44007</x:v>
      </x:c>
      <x:c r="C309" s="102" t="n">
        <x:v>2020</x:v>
      </x:c>
      <x:c r="D309" s="103" t="str">
        <x:v>ID-222012490034</x:v>
      </x:c>
      <x:c r="E309" s="112" t="str">
        <x:v>[펌]만화에서 매력적인 캐릭터 구축</x:v>
      </x:c>
      <x:c r="F309" s="112" t="str">
        <x:v>웹툰작법</x:v>
      </x:c>
      <x:c r="G309" s="112" t="str">
        <x:v>웹툰 참고</x:v>
      </x:c>
      <x:c r="H309" s="112" t="str">
        <x:v>캐릭터·전개</x:v>
      </x:c>
      <x:c r="I309" s="112" t="n">
        <x:v>23</x:v>
      </x:c>
      <x:c r="J309" s="112" t="str">
        <x:v>캐릭터</x:v>
      </x:c>
      <x:c r="K309" s="112" t="str">
        <x:v>재게시</x:v>
      </x:c>
      <x:c r="L309" s="112" t="str">
        <x:v>높음</x:v>
      </x:c>
      <x:c r="M309" s="112" t="str">
        <x:v>제목의 펌/퍼옴 표시</x:v>
      </x:c>
      <x:c r="N309" s="116" t="str">
        <x:v>https://gall.dcinside.com/mgallery/board/view/?id=cartoonist&amp;no=34989&amp;_rk=ArW&amp;exception_mode=recommend&amp;page=1</x:v>
      </x:c>
      <x:c r="O309" s="116" t="str">
        <x:v>https://m.blog.naver.com/sntu2010/222012490034</x:v>
      </x:c>
      <x:c r="P309" s="112" t="str">
        <x:v>아니오</x:v>
      </x:c>
      <x:c r="Q309" s="113" t="str">
        <x:v>자동 분류·표본 검토 대상</x:v>
      </x:c>
    </x:row>
    <x:row r="310">
      <x:c r="A310" s="100" t="n">
        <x:v>309</x:v>
      </x:c>
      <x:c r="B310" s="101" t="n">
        <x:v>44007</x:v>
      </x:c>
      <x:c r="C310" s="102" t="n">
        <x:v>2020</x:v>
      </x:c>
      <x:c r="D310" s="103" t="str">
        <x:v>ID-222012488683</x:v>
      </x:c>
      <x:c r="E310" s="112" t="str">
        <x:v>[펌]만화 1화에서 필요한 것들</x:v>
      </x:c>
      <x:c r="F310" s="112" t="str">
        <x:v>웹툰작법</x:v>
      </x:c>
      <x:c r="G310" s="112" t="str">
        <x:v>웹툰 참고</x:v>
      </x:c>
      <x:c r="H310" s="112" t="str">
        <x:v>초반부/연독률</x:v>
      </x:c>
      <x:c r="I310" s="112" t="n">
        <x:v>26</x:v>
      </x:c>
      <x:c r="J310" s="112" t="str">
        <x:v>1화, 초반</x:v>
      </x:c>
      <x:c r="K310" s="112" t="str">
        <x:v>재게시</x:v>
      </x:c>
      <x:c r="L310" s="112" t="str">
        <x:v>높음</x:v>
      </x:c>
      <x:c r="M310" s="112" t="str">
        <x:v>제목의 펌/퍼옴 표시</x:v>
      </x:c>
      <x:c r="N310" s="116" t="str">
        <x:v>https://gall.dcinside.com/mgallery/board/view/?id=cartoonist&amp;no=34934&amp;_rk=JRL&amp;exception_mode=recommend&amp;page=1</x:v>
      </x:c>
      <x:c r="O310" s="116" t="str">
        <x:v>https://m.blog.naver.com/sntu2010/222012488683</x:v>
      </x:c>
      <x:c r="P310" s="112" t="str">
        <x:v>아니오</x:v>
      </x:c>
      <x:c r="Q310" s="113" t="str">
        <x:v>자동 분류·표본 검토 대상</x:v>
      </x:c>
    </x:row>
    <x:row r="311">
      <x:c r="A311" s="100" t="n">
        <x:v>310</x:v>
      </x:c>
      <x:c r="B311" s="101" t="n">
        <x:v>44007</x:v>
      </x:c>
      <x:c r="C311" s="102" t="n">
        <x:v>2020</x:v>
      </x:c>
      <x:c r="D311" s="103" t="str">
        <x:v>ID-222012487026</x:v>
      </x:c>
      <x:c r="E311" s="112" t="str">
        <x:v>[펌]만화에 적용 가능한 영화 연출 기초 지식들</x:v>
      </x:c>
      <x:c r="F311" s="112" t="str">
        <x:v>웹툰작법</x:v>
      </x:c>
      <x:c r="G311" s="112" t="str">
        <x:v>웹툰 참고</x:v>
      </x:c>
      <x:c r="H311" s="112" t="str">
        <x:v>작법·상업성</x:v>
      </x:c>
      <x:c r="I311" s="112" t="n">
        <x:v>1</x:v>
      </x:c>
      <x:c r="J311" s="112" t="str">
        <x:v>작법</x:v>
      </x:c>
      <x:c r="K311" s="112" t="str">
        <x:v>재게시</x:v>
      </x:c>
      <x:c r="L311" s="112" t="str">
        <x:v>높음</x:v>
      </x:c>
      <x:c r="M311" s="112" t="str">
        <x:v>제목의 펌/퍼옴 표시</x:v>
      </x:c>
      <x:c r="N311" s="116" t="str">
        <x:v>https://gall.dcinside.com/mgallery/board/view/?id=cartoonist&amp;no=35650&amp;_rk=CFQ&amp;exception_mode=recommend&amp;page=1</x:v>
      </x:c>
      <x:c r="O311" s="116" t="str">
        <x:v>https://m.blog.naver.com/sntu2010/222012487026</x:v>
      </x:c>
      <x:c r="P311" s="112" t="str">
        <x:v>아니오</x:v>
      </x:c>
      <x:c r="Q311" s="113" t="str">
        <x:v>자동 분류·표본 검토 대상</x:v>
      </x:c>
    </x:row>
    <x:row r="312">
      <x:c r="A312" s="100" t="n">
        <x:v>311</x:v>
      </x:c>
      <x:c r="B312" s="101" t="n">
        <x:v>44007</x:v>
      </x:c>
      <x:c r="C312" s="102" t="n">
        <x:v>2020</x:v>
      </x:c>
      <x:c r="D312" s="103" t="str">
        <x:v>ID-222012485344</x:v>
      </x:c>
      <x:c r="E312" s="112" t="str">
        <x:v>[펌]기본적인 연출 공부하기 좋은 만화 추천</x:v>
      </x:c>
      <x:c r="F312" s="112" t="str">
        <x:v>웹툰작법</x:v>
      </x:c>
      <x:c r="G312" s="112" t="str">
        <x:v>웹툰 참고</x:v>
      </x:c>
      <x:c r="H312" s="112" t="str">
        <x:v>캐릭터·전개</x:v>
      </x:c>
      <x:c r="I312" s="112" t="n">
        <x:v>3</x:v>
      </x:c>
      <x:c r="J312" s="112" t="str">
        <x:v>대사</x:v>
      </x:c>
      <x:c r="K312" s="112" t="str">
        <x:v>재게시</x:v>
      </x:c>
      <x:c r="L312" s="112" t="str">
        <x:v>높음</x:v>
      </x:c>
      <x:c r="M312" s="112" t="str">
        <x:v>제목의 펌/퍼옴 표시</x:v>
      </x:c>
      <x:c r="N312" s="116" t="str">
        <x:v>https://gall.dcinside.com/mgallery/board/view/?id=cartoonist&amp;no=34245&amp;_rk=eYK&amp;exception_mode=recommend&amp;page=1</x:v>
      </x:c>
      <x:c r="O312" s="116" t="str">
        <x:v>https://m.blog.naver.com/sntu2010/222012485344</x:v>
      </x:c>
      <x:c r="P312" s="112" t="str">
        <x:v>아니오</x:v>
      </x:c>
      <x:c r="Q312" s="113" t="str">
        <x:v>자동 분류·표본 검토 대상</x:v>
      </x:c>
    </x:row>
    <x:row r="313">
      <x:c r="A313" s="100" t="n">
        <x:v>312</x:v>
      </x:c>
      <x:c r="B313" s="101" t="n">
        <x:v>44007</x:v>
      </x:c>
      <x:c r="C313" s="102" t="n">
        <x:v>2020</x:v>
      </x:c>
      <x:c r="D313" s="103" t="str">
        <x:v>ID-222011718918</x:v>
      </x:c>
      <x:c r="E313" s="112" t="str">
        <x:v>전업 작가로 살아가는데 가장 중요한 것</x:v>
      </x:c>
      <x:c r="F313" s="112" t="str">
        <x:v>웹소생각</x:v>
      </x:c>
      <x:c r="G313" s="112" t="str">
        <x:v>웹소설 직접</x:v>
      </x:c>
      <x:c r="H313" s="112" t="str">
        <x:v>수익·운영</x:v>
      </x:c>
      <x:c r="I313" s="112" t="n">
        <x:v>22</x:v>
      </x:c>
      <x:c r="J313" s="112" t="str">
        <x:v>전업, 수입</x:v>
      </x:c>
      <x:c r="K313" s="112" t="str">
        <x:v>본인 작성/의견 추정</x:v>
      </x:c>
      <x:c r="L313" s="112" t="str">
        <x:v>낮음</x:v>
      </x:c>
      <x:c r="M313" s="112" t="str">
        <x:v>재게시 표시는 없으나 저자성 직접 증거 부족</x:v>
      </x:c>
      <x:c r="N313" s="116" t="str"/>
      <x:c r="O313" s="116" t="str">
        <x:v>https://m.blog.naver.com/sntu2010/222011718918</x:v>
      </x:c>
      <x:c r="P313" s="112" t="str">
        <x:v>예</x:v>
      </x:c>
      <x:c r="Q313" s="113" t="str">
        <x:v>자동 분류·표본 검토 대상</x:v>
      </x:c>
    </x:row>
    <x:row r="314">
      <x:c r="A314" s="100" t="n">
        <x:v>313</x:v>
      </x:c>
      <x:c r="B314" s="101" t="n">
        <x:v>44001</x:v>
      </x:c>
      <x:c r="C314" s="102" t="n">
        <x:v>2020</x:v>
      </x:c>
      <x:c r="D314" s="103" t="str">
        <x:v>ID-222005833597</x:v>
      </x:c>
      <x:c r="E314" s="112" t="str">
        <x:v>[펌]재미란 무엇인가에 대한 소소한 팁.txt</x:v>
      </x:c>
      <x:c r="F314" s="112" t="str">
        <x:v>웹소작법</x:v>
      </x:c>
      <x:c r="G314" s="112" t="str">
        <x:v>웹소설 직접</x:v>
      </x:c>
      <x:c r="H314" s="112" t="str">
        <x:v>작법·상업성</x:v>
      </x:c>
      <x:c r="I314" s="112" t="n">
        <x:v>28</x:v>
      </x:c>
      <x:c r="J314" s="112" t="str">
        <x:v>재미, 독자, 작법</x:v>
      </x:c>
      <x:c r="K314" s="112" t="str">
        <x:v>재게시</x:v>
      </x:c>
      <x:c r="L314" s="112" t="str">
        <x:v>높음</x:v>
      </x:c>
      <x:c r="M314" s="112" t="str">
        <x:v>제목의 펌/퍼옴 표시</x:v>
      </x:c>
      <x:c r="N314" s="116" t="str">
        <x:v>https://gall.dcinside.com/mgallery/board/view/?id=tgijjdd&amp;no=336755&amp;_rk=eYK&amp;exception_mode=recommend&amp;page=1</x:v>
      </x:c>
      <x:c r="O314" s="116" t="str">
        <x:v>https://m.blog.naver.com/sntu2010/222005833597</x:v>
      </x:c>
      <x:c r="P314" s="112" t="str">
        <x:v>예</x:v>
      </x:c>
      <x:c r="Q314" s="113" t="str">
        <x:v>자동 분류·표본 검토 대상</x:v>
      </x:c>
    </x:row>
    <x:row r="315">
      <x:c r="A315" s="100" t="n">
        <x:v>314</x:v>
      </x:c>
      <x:c r="B315" s="101" t="n">
        <x:v>44000</x:v>
      </x:c>
      <x:c r="C315" s="102" t="n">
        <x:v>2020</x:v>
      </x:c>
      <x:c r="D315" s="103" t="str">
        <x:v>ID-222004675779</x:v>
      </x:c>
      <x:c r="E315" s="112" t="str">
        <x:v>먼치킨 주인공 설정이 양날의 검인 이유</x:v>
      </x:c>
      <x:c r="F315" s="112" t="str">
        <x:v>웹소생각</x:v>
      </x:c>
      <x:c r="G315" s="112" t="str">
        <x:v>웹소설 직접</x:v>
      </x:c>
      <x:c r="H315" s="112" t="str">
        <x:v>캐릭터·전개</x:v>
      </x:c>
      <x:c r="I315" s="112" t="n">
        <x:v>24</x:v>
      </x:c>
      <x:c r="J315" s="112" t="str">
        <x:v>주인공</x:v>
      </x:c>
      <x:c r="K315" s="112" t="str">
        <x:v>본인 경험담 추정</x:v>
      </x:c>
      <x:c r="L315" s="112" t="str">
        <x:v>중간</x:v>
      </x:c>
      <x:c r="M315" s="112" t="str">
        <x:v>1인칭 경험·작품·계약 표현</x:v>
      </x:c>
      <x:c r="N315" s="116" t="str"/>
      <x:c r="O315" s="116" t="str">
        <x:v>https://m.blog.naver.com/sntu2010/222004675779</x:v>
      </x:c>
      <x:c r="P315" s="112" t="str">
        <x:v>예</x:v>
      </x:c>
      <x:c r="Q315" s="113" t="str">
        <x:v>자동 분류·표본 검토 대상</x:v>
      </x:c>
    </x:row>
    <x:row r="316">
      <x:c r="A316" s="100" t="n">
        <x:v>315</x:v>
      </x:c>
      <x:c r="B316" s="101" t="n">
        <x:v>43986</x:v>
      </x:c>
      <x:c r="C316" s="102" t="n">
        <x:v>2020</x:v>
      </x:c>
      <x:c r="D316" s="103" t="str">
        <x:v>ID-221990528942</x:v>
      </x:c>
      <x:c r="E316" s="112" t="str">
        <x:v>전업 웹소설 작가가 되면 행복할까?</x:v>
      </x:c>
      <x:c r="F316" s="112" t="str">
        <x:v>웹소생각</x:v>
      </x:c>
      <x:c r="G316" s="112" t="str">
        <x:v>웹소설 직접</x:v>
      </x:c>
      <x:c r="H316" s="112" t="str">
        <x:v>수익·운영</x:v>
      </x:c>
      <x:c r="I316" s="112" t="n">
        <x:v>21</x:v>
      </x:c>
      <x:c r="J316" s="112" t="str">
        <x:v>전업, 수입</x:v>
      </x:c>
      <x:c r="K316" s="112" t="str">
        <x:v>본인 작성/의견 추정</x:v>
      </x:c>
      <x:c r="L316" s="112" t="str">
        <x:v>낮음</x:v>
      </x:c>
      <x:c r="M316" s="112" t="str">
        <x:v>재게시 표시는 없으나 저자성 직접 증거 부족</x:v>
      </x:c>
      <x:c r="N316" s="116" t="str">
        <x:v>https://www.dogdrip.net/dogdrip/261992391#comment_262002015]</x:v>
      </x:c>
      <x:c r="O316" s="116" t="str">
        <x:v>https://m.blog.naver.com/sntu2010/221990528942</x:v>
      </x:c>
      <x:c r="P316" s="112" t="str">
        <x:v>예</x:v>
      </x:c>
      <x:c r="Q316" s="113" t="str">
        <x:v>자동 분류·표본 검토 대상</x:v>
      </x:c>
    </x:row>
    <x:row r="317">
      <x:c r="A317" s="100" t="n">
        <x:v>316</x:v>
      </x:c>
      <x:c r="B317" s="101" t="n">
        <x:v>43981</x:v>
      </x:c>
      <x:c r="C317" s="102" t="n">
        <x:v>2020</x:v>
      </x:c>
      <x:c r="D317" s="103" t="str">
        <x:v>ID-221984582117</x:v>
      </x:c>
      <x:c r="E317" s="112" t="str">
        <x:v>[펌]채색하는 법 1~3부.</x:v>
      </x:c>
      <x:c r="F317" s="112" t="str">
        <x:v>웹툰작법</x:v>
      </x:c>
      <x:c r="G317" s="112" t="str">
        <x:v>웹툰 참고</x:v>
      </x:c>
      <x:c r="H317" s="112" t="str">
        <x:v>작법·상업성</x:v>
      </x:c>
      <x:c r="I317" s="112" t="n">
        <x:v>2</x:v>
      </x:c>
      <x:c r="J317" s="112" t="str">
        <x:v>묘사, 작법</x:v>
      </x:c>
      <x:c r="K317" s="112" t="str">
        <x:v>재게시</x:v>
      </x:c>
      <x:c r="L317" s="112" t="str">
        <x:v>높음</x:v>
      </x:c>
      <x:c r="M317" s="112" t="str">
        <x:v>제목의 펌/퍼옴 표시</x:v>
      </x:c>
      <x:c r="N317" s="116" t="str">
        <x:v>https://gall.dcinside.com/mgallery/board/view/?id=drawing&amp;no=59891&amp;_rk=96k&amp;search_head=110&amp;page=1</x:v>
      </x:c>
      <x:c r="O317" s="116" t="str">
        <x:v>https://m.blog.naver.com/sntu2010/221984582117</x:v>
      </x:c>
      <x:c r="P317" s="112" t="str">
        <x:v>아니오</x:v>
      </x:c>
      <x:c r="Q317" s="113" t="str">
        <x:v>자동 분류·표본 검토 대상</x:v>
      </x:c>
    </x:row>
    <x:row r="318">
      <x:c r="A318" s="100" t="n">
        <x:v>317</x:v>
      </x:c>
      <x:c r="B318" s="101" t="n">
        <x:v>43974</x:v>
      </x:c>
      <x:c r="C318" s="102" t="n">
        <x:v>2020</x:v>
      </x:c>
      <x:c r="D318" s="103" t="str">
        <x:v>ID-221976245933</x:v>
      </x:c>
      <x:c r="E318" s="112" t="str">
        <x:v>조연을 이용해 주인공의 특별함을 묘사하자</x:v>
      </x:c>
      <x:c r="F318" s="112" t="str">
        <x:v>웹소생각</x:v>
      </x:c>
      <x:c r="G318" s="112" t="str">
        <x:v>웹소설 직접</x:v>
      </x:c>
      <x:c r="H318" s="112" t="str">
        <x:v>캐릭터·전개</x:v>
      </x:c>
      <x:c r="I318" s="112" t="n">
        <x:v>48</x:v>
      </x:c>
      <x:c r="J318" s="112" t="str">
        <x:v>조연, 주인공, 전개</x:v>
      </x:c>
      <x:c r="K318" s="112" t="str">
        <x:v>본인 작성/의견 추정</x:v>
      </x:c>
      <x:c r="L318" s="112" t="str">
        <x:v>낮음</x:v>
      </x:c>
      <x:c r="M318" s="112" t="str">
        <x:v>재게시 표시는 없으나 저자성 직접 증거 부족</x:v>
      </x:c>
      <x:c r="N318" s="116" t="str"/>
      <x:c r="O318" s="116" t="str">
        <x:v>https://m.blog.naver.com/sntu2010/221976245933</x:v>
      </x:c>
      <x:c r="P318" s="112" t="str">
        <x:v>예</x:v>
      </x:c>
      <x:c r="Q318" s="113" t="str">
        <x:v>자동 분류·표본 검토 대상</x:v>
      </x:c>
    </x:row>
    <x:row r="319">
      <x:c r="A319" s="100" t="n">
        <x:v>318</x:v>
      </x:c>
      <x:c r="B319" s="101" t="n">
        <x:v>43971</x:v>
      </x:c>
      <x:c r="C319" s="102" t="n">
        <x:v>2020</x:v>
      </x:c>
      <x:c r="D319" s="103" t="str">
        <x:v>ID-221971608513</x:v>
      </x:c>
      <x:c r="E319" s="112" t="str">
        <x:v>연독률 방어하는 방법을 고찰해보자!</x:v>
      </x:c>
      <x:c r="F319" s="112" t="str">
        <x:v>웹소생각</x:v>
      </x:c>
      <x:c r="G319" s="112" t="str">
        <x:v>웹소설 직접</x:v>
      </x:c>
      <x:c r="H319" s="112" t="str">
        <x:v>초반부/연독률</x:v>
      </x:c>
      <x:c r="I319" s="112" t="n">
        <x:v>21</x:v>
      </x:c>
      <x:c r="J319" s="112" t="str">
        <x:v>연독, 유료화</x:v>
      </x:c>
      <x:c r="K319" s="112" t="str">
        <x:v>본인 경험담 추정</x:v>
      </x:c>
      <x:c r="L319" s="112" t="str">
        <x:v>중간</x:v>
      </x:c>
      <x:c r="M319" s="112" t="str">
        <x:v>1인칭 경험·작품·계약 표현</x:v>
      </x:c>
      <x:c r="N319" s="116" t="str"/>
      <x:c r="O319" s="116" t="str">
        <x:v>https://m.blog.naver.com/sntu2010/221971608513</x:v>
      </x:c>
      <x:c r="P319" s="112" t="str">
        <x:v>예</x:v>
      </x:c>
      <x:c r="Q319" s="113" t="str">
        <x:v>자동 분류·표본 검토 대상</x:v>
      </x:c>
    </x:row>
    <x:row r="320">
      <x:c r="A320" s="100" t="n">
        <x:v>319</x:v>
      </x:c>
      <x:c r="B320" s="101" t="n">
        <x:v>43969</x:v>
      </x:c>
      <x:c r="C320" s="102" t="n">
        <x:v>2020</x:v>
      </x:c>
      <x:c r="D320" s="103" t="str">
        <x:v>ID-221968342199</x:v>
      </x:c>
      <x:c r="E320" s="112" t="str">
        <x:v>[펌]웹소설 관련 논문 2개 정리한거 보구가</x:v>
      </x:c>
      <x:c r="F320" s="112" t="str">
        <x:v>웹소작법</x:v>
      </x:c>
      <x:c r="G320" s="112" t="str">
        <x:v>웹소설 직접</x:v>
      </x:c>
      <x:c r="H320" s="112" t="str">
        <x:v>작법·상업성</x:v>
      </x:c>
      <x:c r="I320" s="112" t="n">
        <x:v>5</x:v>
      </x:c>
      <x:c r="J320" s="112" t="str">
        <x:v>장르, 독자, 작법</x:v>
      </x:c>
      <x:c r="K320" s="112" t="str">
        <x:v>재게시</x:v>
      </x:c>
      <x:c r="L320" s="112" t="str">
        <x:v>높음</x:v>
      </x:c>
      <x:c r="M320" s="112" t="str">
        <x:v>제목의 펌/퍼옴 표시</x:v>
      </x:c>
      <x:c r="N320" s="116" t="str">
        <x:v>https://gall.dcinside.com/mgallery/board/view/?id=tgijjdd&amp;no=314583&amp;_rk=Hc2&amp;s_type=search_all&amp;s_keyword=%EB%85%BC%EB%AC%B8&amp;page=1</x:v>
      </x:c>
      <x:c r="O320" s="116" t="str">
        <x:v>https://m.blog.naver.com/sntu2010/221968342199</x:v>
      </x:c>
      <x:c r="P320" s="112" t="str">
        <x:v>아니오</x:v>
      </x:c>
      <x:c r="Q320" s="113" t="str">
        <x:v>자동 분류·표본 검토 대상</x:v>
      </x:c>
    </x:row>
    <x:row r="321">
      <x:c r="A321" s="100" t="n">
        <x:v>320</x:v>
      </x:c>
      <x:c r="B321" s="101" t="n">
        <x:v>43968</x:v>
      </x:c>
      <x:c r="C321" s="102" t="n">
        <x:v>2020</x:v>
      </x:c>
      <x:c r="D321" s="103" t="str">
        <x:v>ID-221967207894</x:v>
      </x:c>
      <x:c r="E321" s="112" t="str">
        <x:v>[펌]주인공 혼자 있을 때 글 쓰는 패턴 알려준다.</x:v>
      </x:c>
      <x:c r="F321" s="112" t="str">
        <x:v>웹소작법</x:v>
      </x:c>
      <x:c r="G321" s="112" t="str">
        <x:v>웹소설 직접</x:v>
      </x:c>
      <x:c r="H321" s="112" t="str">
        <x:v>캐릭터·전개</x:v>
      </x:c>
      <x:c r="I321" s="112" t="n">
        <x:v>21</x:v>
      </x:c>
      <x:c r="J321" s="112" t="str">
        <x:v>주인공</x:v>
      </x:c>
      <x:c r="K321" s="112" t="str">
        <x:v>재게시</x:v>
      </x:c>
      <x:c r="L321" s="112" t="str">
        <x:v>높음</x:v>
      </x:c>
      <x:c r="M321" s="112" t="str">
        <x:v>제목의 펌/퍼옴 표시</x:v>
      </x:c>
      <x:c r="N321" s="116" t="str">
        <x:v>https://gall.dcinside.com/mgallery/board/view/?id=tgijjdd&amp;no=291697&amp;search_head=30&amp;page=1&amp;_rk=96k</x:v>
      </x:c>
      <x:c r="O321" s="116" t="str">
        <x:v>https://m.blog.naver.com/sntu2010/221967207894</x:v>
      </x:c>
      <x:c r="P321" s="112" t="str">
        <x:v>예</x:v>
      </x:c>
      <x:c r="Q321" s="113" t="str">
        <x:v>자동 분류·표본 검토 대상</x:v>
      </x:c>
    </x:row>
    <x:row r="322">
      <x:c r="A322" s="100" t="n">
        <x:v>321</x:v>
      </x:c>
      <x:c r="B322" s="101" t="n">
        <x:v>43968</x:v>
      </x:c>
      <x:c r="C322" s="102" t="n">
        <x:v>2020</x:v>
      </x:c>
      <x:c r="D322" s="103" t="str">
        <x:v>ID-221967205204</x:v>
      </x:c>
      <x:c r="E322" s="112" t="str">
        <x:v>[펌]간단하게 역사적으로 보는 시대별 무협</x:v>
      </x:c>
      <x:c r="F322" s="112" t="str">
        <x:v>창작소재</x:v>
      </x:c>
      <x:c r="G322" s="112" t="str">
        <x:v>공통 창작소재</x:v>
      </x:c>
      <x:c r="H322" s="112" t="str">
        <x:v>작법·상업성</x:v>
      </x:c>
      <x:c r="I322" s="112" t="n">
        <x:v>1</x:v>
      </x:c>
      <x:c r="J322" s="112" t="str">
        <x:v>소재</x:v>
      </x:c>
      <x:c r="K322" s="112" t="str">
        <x:v>재게시</x:v>
      </x:c>
      <x:c r="L322" s="112" t="str">
        <x:v>높음</x:v>
      </x:c>
      <x:c r="M322" s="112" t="str">
        <x:v>제목의 펌/퍼옴 표시</x:v>
      </x:c>
      <x:c r="N322" s="116" t="str">
        <x:v>https://gall.dcinside.com/mgallery/board/view/?id=tgijjdd&amp;no=306171&amp;search_head=30&amp;page=1&amp;_rk=BQK</x:v>
      </x:c>
      <x:c r="O322" s="116" t="str">
        <x:v>https://m.blog.naver.com/sntu2010/221967205204</x:v>
      </x:c>
      <x:c r="P322" s="112" t="str">
        <x:v>아니오</x:v>
      </x:c>
      <x:c r="Q322" s="113" t="str">
        <x:v>자동 분류·표본 검토 대상</x:v>
      </x:c>
    </x:row>
    <x:row r="323">
      <x:c r="A323" s="100" t="n">
        <x:v>322</x:v>
      </x:c>
      <x:c r="B323" s="101" t="n">
        <x:v>43960</x:v>
      </x:c>
      <x:c r="C323" s="102" t="n">
        <x:v>2020</x:v>
      </x:c>
      <x:c r="D323" s="103" t="str">
        <x:v>ID-221954603071</x:v>
      </x:c>
      <x:c r="E323" s="112" t="str">
        <x:v>[펌]종소세 안내문 유형 F G H 인 분들은</x:v>
      </x:c>
      <x:c r="F323" s="112" t="str">
        <x:v>웹소작법</x:v>
      </x:c>
      <x:c r="G323" s="112" t="str">
        <x:v>웹소설 직접</x:v>
      </x:c>
      <x:c r="H323" s="112" t="str">
        <x:v>수익·운영</x:v>
      </x:c>
      <x:c r="I323" s="112" t="n">
        <x:v>8</x:v>
      </x:c>
      <x:c r="J323" s="112" t="str">
        <x:v>수입, 금액, 세금</x:v>
      </x:c>
      <x:c r="K323" s="112" t="str">
        <x:v>재게시</x:v>
      </x:c>
      <x:c r="L323" s="112" t="str">
        <x:v>높음</x:v>
      </x:c>
      <x:c r="M323" s="112" t="str">
        <x:v>제목의 펌/퍼옴 표시</x:v>
      </x:c>
      <x:c r="N323" s="116" t="str">
        <x:v>https://gall.dcinside.com/mgallery/board/view/?id=tgijjdd&amp;no=310866&amp;exception_mode=recommend&amp;page=1</x:v>
      </x:c>
      <x:c r="O323" s="116" t="str">
        <x:v>https://m.blog.naver.com/sntu2010/221954603071</x:v>
      </x:c>
      <x:c r="P323" s="112" t="str">
        <x:v>예</x:v>
      </x:c>
      <x:c r="Q323" s="113" t="str">
        <x:v>자동 분류·표본 검토 대상</x:v>
      </x:c>
    </x:row>
    <x:row r="324">
      <x:c r="A324" s="100" t="n">
        <x:v>323</x:v>
      </x:c>
      <x:c r="B324" s="101" t="n">
        <x:v>43960</x:v>
      </x:c>
      <x:c r="C324" s="102" t="n">
        <x:v>2020</x:v>
      </x:c>
      <x:c r="D324" s="103" t="str">
        <x:v>ID-221953792059</x:v>
      </x:c>
      <x:c r="E324" s="112" t="str">
        <x:v>[공유] 클리셰 정리-1</x:v>
      </x:c>
      <x:c r="F324" s="112" t="str">
        <x:v>창작소재</x:v>
      </x:c>
      <x:c r="G324" s="112" t="str">
        <x:v>공통 창작소재</x:v>
      </x:c>
      <x:c r="H324" s="112" t="str">
        <x:v>작법·상업성</x:v>
      </x:c>
      <x:c r="I324" s="112" t="n">
        <x:v>21</x:v>
      </x:c>
      <x:c r="J324" s="112" t="str">
        <x:v>클리셰, 소재</x:v>
      </x:c>
      <x:c r="K324" s="112" t="str">
        <x:v>본인 작성/의견 추정</x:v>
      </x:c>
      <x:c r="L324" s="112" t="str">
        <x:v>낮음</x:v>
      </x:c>
      <x:c r="M324" s="112" t="str">
        <x:v>재게시 표시는 없으나 저자성 직접 증거 부족</x:v>
      </x:c>
      <x:c r="N324" s="116" t="str"/>
      <x:c r="O324" s="116" t="str">
        <x:v>https://m.blog.naver.com/sntu2010/221953792059</x:v>
      </x:c>
      <x:c r="P324" s="112" t="str">
        <x:v>아니오</x:v>
      </x:c>
      <x:c r="Q324" s="113" t="str">
        <x:v>자동 분류·표본 검토 대상</x:v>
      </x:c>
    </x:row>
    <x:row r="325">
      <x:c r="A325" s="100" t="n">
        <x:v>324</x:v>
      </x:c>
      <x:c r="B325" s="101" t="n">
        <x:v>43960</x:v>
      </x:c>
      <x:c r="C325" s="102" t="n">
        <x:v>2020</x:v>
      </x:c>
      <x:c r="D325" s="103" t="str">
        <x:v>ID-221953791539</x:v>
      </x:c>
      <x:c r="E325" s="112" t="str">
        <x:v>[공유] 클리셰 정리-2</x:v>
      </x:c>
      <x:c r="F325" s="112" t="str">
        <x:v>창작소재</x:v>
      </x:c>
      <x:c r="G325" s="112" t="str">
        <x:v>공통 창작소재</x:v>
      </x:c>
      <x:c r="H325" s="112" t="str">
        <x:v>작법·상업성</x:v>
      </x:c>
      <x:c r="I325" s="112" t="n">
        <x:v>21</x:v>
      </x:c>
      <x:c r="J325" s="112" t="str">
        <x:v>클리셰, 소재</x:v>
      </x:c>
      <x:c r="K325" s="112" t="str">
        <x:v>본인 작성/의견 추정</x:v>
      </x:c>
      <x:c r="L325" s="112" t="str">
        <x:v>낮음</x:v>
      </x:c>
      <x:c r="M325" s="112" t="str">
        <x:v>재게시 표시는 없으나 저자성 직접 증거 부족</x:v>
      </x:c>
      <x:c r="N325" s="116" t="str"/>
      <x:c r="O325" s="116" t="str">
        <x:v>https://m.blog.naver.com/sntu2010/221953791539</x:v>
      </x:c>
      <x:c r="P325" s="112" t="str">
        <x:v>아니오</x:v>
      </x:c>
      <x:c r="Q325" s="113" t="str">
        <x:v>자동 분류·표본 검토 대상</x:v>
      </x:c>
    </x:row>
    <x:row r="326">
      <x:c r="A326" s="100" t="n">
        <x:v>325</x:v>
      </x:c>
      <x:c r="B326" s="101" t="n">
        <x:v>43956</x:v>
      </x:c>
      <x:c r="C326" s="102" t="n">
        <x:v>2020</x:v>
      </x:c>
      <x:c r="D326" s="103" t="str">
        <x:v>ID-221946695508</x:v>
      </x:c>
      <x:c r="E326" s="112" t="str">
        <x:v>[펌]글을 쓸 때 팁(강산 작가님)</x:v>
      </x:c>
      <x:c r="F326" s="112" t="str">
        <x:v>웹소작법</x:v>
      </x:c>
      <x:c r="G326" s="112" t="str">
        <x:v>웹소설 직접</x:v>
      </x:c>
      <x:c r="H326" s="112" t="str">
        <x:v>작법·상업성</x:v>
      </x:c>
      <x:c r="I326" s="112" t="n">
        <x:v>4</x:v>
      </x:c>
      <x:c r="J326" s="112" t="str">
        <x:v>재미, 독자, 작법</x:v>
      </x:c>
      <x:c r="K326" s="112" t="str">
        <x:v>재게시</x:v>
      </x:c>
      <x:c r="L326" s="112" t="str">
        <x:v>높음</x:v>
      </x:c>
      <x:c r="M326" s="112" t="str">
        <x:v>제목의 펌/퍼옴 표시</x:v>
      </x:c>
      <x:c r="N326" s="116" t="str">
        <x:v>https://gall.dcinside.com/mgallery/board/view/?id=tgijjdd&amp;no=309738&amp;exception_mode=recommend&amp;page=1</x:v>
      </x:c>
      <x:c r="O326" s="116" t="str">
        <x:v>https://m.blog.naver.com/sntu2010/221946695508</x:v>
      </x:c>
      <x:c r="P326" s="112" t="str">
        <x:v>아니오</x:v>
      </x:c>
      <x:c r="Q326" s="113" t="str">
        <x:v>자동 분류·표본 검토 대상</x:v>
      </x:c>
    </x:row>
    <x:row r="327">
      <x:c r="A327" s="100" t="n">
        <x:v>326</x:v>
      </x:c>
      <x:c r="B327" s="101" t="n">
        <x:v>43948</x:v>
      </x:c>
      <x:c r="C327" s="102" t="n">
        <x:v>2020</x:v>
      </x:c>
      <x:c r="D327" s="103" t="str">
        <x:v>ID-221932237304</x:v>
      </x:c>
      <x:c r="E327" s="112" t="str">
        <x:v>[펌] 기다무 대베너 매출, 순위, 중박, 상박 등등. 팁</x:v>
      </x:c>
      <x:c r="F327" s="112" t="str">
        <x:v>웹소작법</x:v>
      </x:c>
      <x:c r="G327" s="112" t="str">
        <x:v>웹소설 직접</x:v>
      </x:c>
      <x:c r="H327" s="112" t="str">
        <x:v>수익·운영</x:v>
      </x:c>
      <x:c r="I327" s="112" t="n">
        <x:v>22</x:v>
      </x:c>
      <x:c r="J327" s="112" t="str">
        <x:v>매출, 연참</x:v>
      </x:c>
      <x:c r="K327" s="112" t="str">
        <x:v>재게시</x:v>
      </x:c>
      <x:c r="L327" s="112" t="str">
        <x:v>높음</x:v>
      </x:c>
      <x:c r="M327" s="112" t="str">
        <x:v>제목의 펌/퍼옴 표시</x:v>
      </x:c>
      <x:c r="N327" s="116" t="str">
        <x:v>https://gall.dcinside.com/mgallery/board/view/?id=tgijjdd&amp;no=306470&amp;exception_mode=recommend&amp;page=1</x:v>
      </x:c>
      <x:c r="O327" s="116" t="str">
        <x:v>https://m.blog.naver.com/sntu2010/221932237304</x:v>
      </x:c>
      <x:c r="P327" s="112" t="str">
        <x:v>예</x:v>
      </x:c>
      <x:c r="Q327" s="113" t="str">
        <x:v>자동 분류·표본 검토 대상</x:v>
      </x:c>
    </x:row>
    <x:row r="328">
      <x:c r="A328" s="100" t="n">
        <x:v>327</x:v>
      </x:c>
      <x:c r="B328" s="101" t="n">
        <x:v>43942</x:v>
      </x:c>
      <x:c r="C328" s="102" t="n">
        <x:v>2020</x:v>
      </x:c>
      <x:c r="D328" s="103" t="str">
        <x:v>ID-221920372568</x:v>
      </x:c>
      <x:c r="E328" s="112" t="str">
        <x:v>[펌]그림 증진 팁</x:v>
      </x:c>
      <x:c r="F328" s="112" t="str">
        <x:v>웹툰작법</x:v>
      </x:c>
      <x:c r="G328" s="112" t="str">
        <x:v>웹툰 참고</x:v>
      </x:c>
      <x:c r="H328" s="112" t="str">
        <x:v>작법·상업성</x:v>
      </x:c>
      <x:c r="I328" s="112" t="n">
        <x:v>1</x:v>
      </x:c>
      <x:c r="J328" s="112" t="str">
        <x:v>작법</x:v>
      </x:c>
      <x:c r="K328" s="112" t="str">
        <x:v>재게시</x:v>
      </x:c>
      <x:c r="L328" s="112" t="str">
        <x:v>높음</x:v>
      </x:c>
      <x:c r="M328" s="112" t="str">
        <x:v>제목의 펌/퍼옴 표시</x:v>
      </x:c>
      <x:c r="N328" s="116" t="str">
        <x:v>https://gall.dcinside.com/mgallery/board/view/?id=drawing&amp;no=49892&amp;exception_mode=recommend&amp;search_head=110&amp;page=1</x:v>
      </x:c>
      <x:c r="O328" s="116" t="str">
        <x:v>https://m.blog.naver.com/sntu2010/221920372568</x:v>
      </x:c>
      <x:c r="P328" s="112" t="str">
        <x:v>아니오</x:v>
      </x:c>
      <x:c r="Q328" s="113" t="str">
        <x:v>자동 분류·표본 검토 대상</x:v>
      </x:c>
    </x:row>
    <x:row r="329">
      <x:c r="A329" s="100" t="n">
        <x:v>328</x:v>
      </x:c>
      <x:c r="B329" s="101" t="n">
        <x:v>43938</x:v>
      </x:c>
      <x:c r="C329" s="102" t="n">
        <x:v>2020</x:v>
      </x:c>
      <x:c r="D329" s="103" t="str">
        <x:v>ID-221913652428</x:v>
      </x:c>
      <x:c r="E329" s="112" t="str">
        <x:v>[펌]자주 사용되는 도입부들</x:v>
      </x:c>
      <x:c r="F329" s="112" t="str">
        <x:v>웹소작법</x:v>
      </x:c>
      <x:c r="G329" s="112" t="str">
        <x:v>웹소설 직접</x:v>
      </x:c>
      <x:c r="H329" s="112" t="str">
        <x:v>캐릭터·전개</x:v>
      </x:c>
      <x:c r="I329" s="112" t="n">
        <x:v>5</x:v>
      </x:c>
      <x:c r="J329" s="112" t="str">
        <x:v>주인공, 인물</x:v>
      </x:c>
      <x:c r="K329" s="112" t="str">
        <x:v>재게시</x:v>
      </x:c>
      <x:c r="L329" s="112" t="str">
        <x:v>높음</x:v>
      </x:c>
      <x:c r="M329" s="112" t="str">
        <x:v>제목의 펌/퍼옴 표시</x:v>
      </x:c>
      <x:c r="N329" s="116" t="str">
        <x:v>https://gall.dcinside.com/mgallery/board/view/?id=tgijjdd&amp;no=301970&amp;exception_mode=recommend&amp;page=1</x:v>
      </x:c>
      <x:c r="O329" s="116" t="str">
        <x:v>https://m.blog.naver.com/sntu2010/221913652428</x:v>
      </x:c>
      <x:c r="P329" s="112" t="str">
        <x:v>아니오</x:v>
      </x:c>
      <x:c r="Q329" s="113" t="str">
        <x:v>자동 분류·표본 검토 대상</x:v>
      </x:c>
    </x:row>
    <x:row r="330">
      <x:c r="A330" s="100" t="n">
        <x:v>329</x:v>
      </x:c>
      <x:c r="B330" s="101" t="n">
        <x:v>43930</x:v>
      </x:c>
      <x:c r="C330" s="102" t="n">
        <x:v>2020</x:v>
      </x:c>
      <x:c r="D330" s="103" t="str">
        <x:v>ID-221900064656</x:v>
      </x:c>
      <x:c r="E330" s="112" t="str">
        <x:v>[펌]5월 종합소득세 때 세무사사무실에 가져가는 것들</x:v>
      </x:c>
      <x:c r="F330" s="112" t="str">
        <x:v>웹소작법</x:v>
      </x:c>
      <x:c r="G330" s="112" t="str">
        <x:v>웹소설 직접</x:v>
      </x:c>
      <x:c r="H330" s="112" t="str">
        <x:v>수익·운영</x:v>
      </x:c>
      <x:c r="I330" s="112" t="n">
        <x:v>3</x:v>
      </x:c>
      <x:c r="J330" s="112" t="str">
        <x:v>세금</x:v>
      </x:c>
      <x:c r="K330" s="112" t="str">
        <x:v>재게시</x:v>
      </x:c>
      <x:c r="L330" s="112" t="str">
        <x:v>높음</x:v>
      </x:c>
      <x:c r="M330" s="112" t="str">
        <x:v>제목의 펌/퍼옴 표시</x:v>
      </x:c>
      <x:c r="N330" s="116" t="str">
        <x:v>https://gall.dcinside.com/mgallery/board/view/?id=tgijjdd&amp;no=298354&amp;page=1</x:v>
      </x:c>
      <x:c r="O330" s="116" t="str">
        <x:v>https://m.blog.naver.com/sntu2010/221900064656</x:v>
      </x:c>
      <x:c r="P330" s="112" t="str">
        <x:v>아니오</x:v>
      </x:c>
      <x:c r="Q330" s="113" t="str">
        <x:v>자동 분류·표본 검토 대상</x:v>
      </x:c>
    </x:row>
    <x:row r="331">
      <x:c r="A331" s="100" t="n">
        <x:v>330</x:v>
      </x:c>
      <x:c r="B331" s="101" t="n">
        <x:v>43929</x:v>
      </x:c>
      <x:c r="C331" s="102" t="n">
        <x:v>2020</x:v>
      </x:c>
      <x:c r="D331" s="103" t="str">
        <x:v>ID-221897810802</x:v>
      </x:c>
      <x:c r="E331" s="112" t="str">
        <x:v>어떻게 하면 글을 빨리 쓸 수 있을까?</x:v>
      </x:c>
      <x:c r="F331" s="112" t="str">
        <x:v>웹소생각</x:v>
      </x:c>
      <x:c r="G331" s="112" t="str">
        <x:v>웹소설 직접</x:v>
      </x:c>
      <x:c r="H331" s="112" t="str">
        <x:v>캐릭터·전개</x:v>
      </x:c>
      <x:c r="I331" s="112" t="n">
        <x:v>8</x:v>
      </x:c>
      <x:c r="J331" s="112" t="str">
        <x:v>에피소드, 인물, 캐릭터, 사건</x:v>
      </x:c>
      <x:c r="K331" s="112" t="str">
        <x:v>본인 작성/의견 추정</x:v>
      </x:c>
      <x:c r="L331" s="112" t="str">
        <x:v>낮음</x:v>
      </x:c>
      <x:c r="M331" s="112" t="str">
        <x:v>재게시 표시는 없으나 저자성 직접 증거 부족</x:v>
      </x:c>
      <x:c r="N331" s="116" t="str"/>
      <x:c r="O331" s="116" t="str">
        <x:v>https://m.blog.naver.com/sntu2010/221897810802</x:v>
      </x:c>
      <x:c r="P331" s="112" t="str">
        <x:v>예</x:v>
      </x:c>
      <x:c r="Q331" s="113" t="str">
        <x:v>자동 분류·표본 검토 대상</x:v>
      </x:c>
    </x:row>
    <x:row r="332">
      <x:c r="A332" s="100" t="n">
        <x:v>331</x:v>
      </x:c>
      <x:c r="B332" s="101" t="n">
        <x:v>43929</x:v>
      </x:c>
      <x:c r="C332" s="102" t="n">
        <x:v>2020</x:v>
      </x:c>
      <x:c r="D332" s="103" t="str">
        <x:v>ID-221897024138</x:v>
      </x:c>
      <x:c r="E332" s="112" t="str">
        <x:v>[펌]어떤 이야기의 소설을 쓰느냐(남희성 작가님)</x:v>
      </x:c>
      <x:c r="F332" s="112" t="str">
        <x:v>웹소작법</x:v>
      </x:c>
      <x:c r="G332" s="112" t="str">
        <x:v>웹소설 직접</x:v>
      </x:c>
      <x:c r="H332" s="112" t="str">
        <x:v>작법·상업성</x:v>
      </x:c>
      <x:c r="I332" s="112" t="n">
        <x:v>5</x:v>
      </x:c>
      <x:c r="J332" s="112" t="str">
        <x:v>트렌드, 재미, 작법</x:v>
      </x:c>
      <x:c r="K332" s="112" t="str">
        <x:v>재게시</x:v>
      </x:c>
      <x:c r="L332" s="112" t="str">
        <x:v>높음</x:v>
      </x:c>
      <x:c r="M332" s="112" t="str">
        <x:v>제목의 펌/퍼옴 표시</x:v>
      </x:c>
      <x:c r="N332" s="116" t="str">
        <x:v>https://gall.dcinside.com/mgallery/board/view/?id=tgijjdd&amp;no=297193&amp;s_type=search_name&amp;s_keyword=%EB%82%A8%ED%9D%AC%EC%84%B1&amp;page=1</x:v>
      </x:c>
      <x:c r="O332" s="116" t="str">
        <x:v>https://m.blog.naver.com/sntu2010/221897024138</x:v>
      </x:c>
      <x:c r="P332" s="112" t="str">
        <x:v>아니오</x:v>
      </x:c>
      <x:c r="Q332" s="113" t="str">
        <x:v>자동 분류·표본 검토 대상</x:v>
      </x:c>
    </x:row>
    <x:row r="333">
      <x:c r="A333" s="100" t="n">
        <x:v>332</x:v>
      </x:c>
      <x:c r="B333" s="101" t="n">
        <x:v>43928</x:v>
      </x:c>
      <x:c r="C333" s="102" t="n">
        <x:v>2020</x:v>
      </x:c>
      <x:c r="D333" s="103" t="str">
        <x:v>ID-221896835006</x:v>
      </x:c>
      <x:c r="E333" s="112" t="str">
        <x:v>[펌]문장을 강화하는 방법</x:v>
      </x:c>
      <x:c r="F333" s="112" t="str">
        <x:v>웹소작법</x:v>
      </x:c>
      <x:c r="G333" s="112" t="str">
        <x:v>웹소설 직접</x:v>
      </x:c>
      <x:c r="H333" s="112" t="str">
        <x:v>작법·상업성</x:v>
      </x:c>
      <x:c r="I333" s="112" t="n">
        <x:v>21</x:v>
      </x:c>
      <x:c r="J333" s="112" t="str">
        <x:v>문장, 작법</x:v>
      </x:c>
      <x:c r="K333" s="112" t="str">
        <x:v>재게시</x:v>
      </x:c>
      <x:c r="L333" s="112" t="str">
        <x:v>높음</x:v>
      </x:c>
      <x:c r="M333" s="112" t="str">
        <x:v>제목의 펌/퍼옴 표시</x:v>
      </x:c>
      <x:c r="N333" s="116" t="str"/>
      <x:c r="O333" s="116" t="str">
        <x:v>https://m.blog.naver.com/sntu2010/221896835006</x:v>
      </x:c>
      <x:c r="P333" s="112" t="str">
        <x:v>예</x:v>
      </x:c>
      <x:c r="Q333" s="113" t="str">
        <x:v>자동 분류·표본 검토 대상</x:v>
      </x:c>
    </x:row>
    <x:row r="334">
      <x:c r="A334" s="100" t="n">
        <x:v>333</x:v>
      </x:c>
      <x:c r="B334" s="101" t="n">
        <x:v>43928</x:v>
      </x:c>
      <x:c r="C334" s="102" t="n">
        <x:v>2020</x:v>
      </x:c>
      <x:c r="D334" s="103" t="str">
        <x:v>ID-221896249216</x:v>
      </x:c>
      <x:c r="E334" s="112" t="str">
        <x:v>[펌]망생이들 많아서 푸는 팁 1~2부</x:v>
      </x:c>
      <x:c r="F334" s="112" t="str">
        <x:v>웹소작법</x:v>
      </x:c>
      <x:c r="G334" s="112" t="str">
        <x:v>웹소설 직접</x:v>
      </x:c>
      <x:c r="H334" s="112" t="str">
        <x:v>캐릭터·전개</x:v>
      </x:c>
      <x:c r="I334" s="112" t="n">
        <x:v>7</x:v>
      </x:c>
      <x:c r="J334" s="112" t="str">
        <x:v>사건, 주인공</x:v>
      </x:c>
      <x:c r="K334" s="112" t="str">
        <x:v>재게시</x:v>
      </x:c>
      <x:c r="L334" s="112" t="str">
        <x:v>높음</x:v>
      </x:c>
      <x:c r="M334" s="112" t="str">
        <x:v>제목의 펌/퍼옴 표시</x:v>
      </x:c>
      <x:c r="N334" s="116" t="str">
        <x:v>https://gall.dcinside.com/mgallery/board/view/?id=tgijjdd&amp;no=296833&amp;page=2</x:v>
      </x:c>
      <x:c r="O334" s="116" t="str">
        <x:v>https://m.blog.naver.com/sntu2010/221896249216</x:v>
      </x:c>
      <x:c r="P334" s="112" t="str">
        <x:v>예</x:v>
      </x:c>
      <x:c r="Q334" s="113" t="str">
        <x:v>자동 분류·표본 검토 대상</x:v>
      </x:c>
    </x:row>
    <x:row r="335">
      <x:c r="A335" s="100" t="n">
        <x:v>334</x:v>
      </x:c>
      <x:c r="B335" s="101" t="n">
        <x:v>43927</x:v>
      </x:c>
      <x:c r="C335" s="102" t="n">
        <x:v>2020</x:v>
      </x:c>
      <x:c r="D335" s="103" t="str">
        <x:v>ID-221893426318</x:v>
      </x:c>
      <x:c r="E335" s="112" t="str">
        <x:v>[펌]웹소설을 쓰는 요령에 대해서(남희성 작가님)</x:v>
      </x:c>
      <x:c r="F335" s="112" t="str">
        <x:v>웹소작법</x:v>
      </x:c>
      <x:c r="G335" s="112" t="str">
        <x:v>웹소설 직접</x:v>
      </x:c>
      <x:c r="H335" s="112" t="str">
        <x:v>작법·상업성</x:v>
      </x:c>
      <x:c r="I335" s="112" t="n">
        <x:v>6</x:v>
      </x:c>
      <x:c r="J335" s="112" t="str">
        <x:v>소재, 대리만족, 독자, 작법</x:v>
      </x:c>
      <x:c r="K335" s="112" t="str">
        <x:v>재게시</x:v>
      </x:c>
      <x:c r="L335" s="112" t="str">
        <x:v>높음</x:v>
      </x:c>
      <x:c r="M335" s="112" t="str">
        <x:v>제목의 펌/퍼옴 표시</x:v>
      </x:c>
      <x:c r="N335" s="116" t="str">
        <x:v>https://gall.dcinside.com/mgallery/board/view/?id=tgijjdd&amp;no=295788&amp;exception_mode=recommend&amp;page=1</x:v>
      </x:c>
      <x:c r="O335" s="116" t="str">
        <x:v>https://m.blog.naver.com/sntu2010/221893426318</x:v>
      </x:c>
      <x:c r="P335" s="112" t="str">
        <x:v>예</x:v>
      </x:c>
      <x:c r="Q335" s="113" t="str">
        <x:v>자동 분류·표본 검토 대상</x:v>
      </x:c>
    </x:row>
    <x:row r="336">
      <x:c r="A336" s="100" t="n">
        <x:v>335</x:v>
      </x:c>
      <x:c r="B336" s="101" t="n">
        <x:v>43922</x:v>
      </x:c>
      <x:c r="C336" s="102" t="n">
        <x:v>2020</x:v>
      </x:c>
      <x:c r="D336" s="103" t="str">
        <x:v>ID-221884775825</x:v>
      </x:c>
      <x:c r="E336" s="112" t="str">
        <x:v>[펌]주인공한테 시비거는 빌런 정리</x:v>
      </x:c>
      <x:c r="F336" s="112" t="str">
        <x:v>웹소작법</x:v>
      </x:c>
      <x:c r="G336" s="112" t="str">
        <x:v>웹소설 직접</x:v>
      </x:c>
      <x:c r="H336" s="112" t="str">
        <x:v>캐릭터·전개</x:v>
      </x:c>
      <x:c r="I336" s="112" t="n">
        <x:v>42</x:v>
      </x:c>
      <x:c r="J336" s="112" t="str">
        <x:v>주인공, 빌런</x:v>
      </x:c>
      <x:c r="K336" s="112" t="str">
        <x:v>재게시</x:v>
      </x:c>
      <x:c r="L336" s="112" t="str">
        <x:v>높음</x:v>
      </x:c>
      <x:c r="M336" s="112" t="str">
        <x:v>제목의 펌/퍼옴 표시</x:v>
      </x:c>
      <x:c r="N336" s="116" t="str">
        <x:v>https://gall.dcinside.com/mgallery/board/view/?id=tgijjdd&amp;no=291647&amp;exception_mode=recommend&amp;page=1</x:v>
      </x:c>
      <x:c r="O336" s="116" t="str">
        <x:v>https://m.blog.naver.com/sntu2010/221884775825</x:v>
      </x:c>
      <x:c r="P336" s="112" t="str">
        <x:v>예</x:v>
      </x:c>
      <x:c r="Q336" s="113" t="str">
        <x:v>자동 분류·표본 검토 대상</x:v>
      </x:c>
    </x:row>
    <x:row r="337">
      <x:c r="A337" s="100" t="n">
        <x:v>336</x:v>
      </x:c>
      <x:c r="B337" s="101" t="n">
        <x:v>43921</x:v>
      </x:c>
      <x:c r="C337" s="102" t="n">
        <x:v>2020</x:v>
      </x:c>
      <x:c r="D337" s="103" t="str">
        <x:v>ID-221882662743</x:v>
      </x:c>
      <x:c r="E337" s="112" t="str">
        <x:v>[펌]투시 설명하는 만화</x:v>
      </x:c>
      <x:c r="F337" s="112" t="str">
        <x:v>웹툰작법</x:v>
      </x:c>
      <x:c r="G337" s="112" t="str">
        <x:v>웹툰 참고</x:v>
      </x:c>
      <x:c r="H337" s="112" t="str">
        <x:v>캐릭터·전개</x:v>
      </x:c>
      <x:c r="I337" s="112" t="n">
        <x:v>3</x:v>
      </x:c>
      <x:c r="J337" s="112" t="str">
        <x:v>관계, 시점</x:v>
      </x:c>
      <x:c r="K337" s="112" t="str">
        <x:v>재게시</x:v>
      </x:c>
      <x:c r="L337" s="112" t="str">
        <x:v>높음</x:v>
      </x:c>
      <x:c r="M337" s="112" t="str">
        <x:v>제목의 펌/퍼옴 표시</x:v>
      </x:c>
      <x:c r="N337" s="116" t="str">
        <x:v>https://gall.dcinside.com/mgallery/board/view/?id=drawing&amp;no=47325&amp;exception_mode=recommend&amp;search_head=110&amp;page=1</x:v>
      </x:c>
      <x:c r="O337" s="116" t="str">
        <x:v>https://m.blog.naver.com/sntu2010/221882662743</x:v>
      </x:c>
      <x:c r="P337" s="112" t="str">
        <x:v>아니오</x:v>
      </x:c>
      <x:c r="Q337" s="113" t="str">
        <x:v>자동 분류·표본 검토 대상</x:v>
      </x:c>
    </x:row>
    <x:row r="338">
      <x:c r="A338" s="100" t="n">
        <x:v>337</x:v>
      </x:c>
      <x:c r="B338" s="101" t="n">
        <x:v>43920</x:v>
      </x:c>
      <x:c r="C338" s="102" t="n">
        <x:v>2020</x:v>
      </x:c>
      <x:c r="D338" s="103" t="str">
        <x:v>ID-221881869255</x:v>
      </x:c>
      <x:c r="E338" s="112" t="str">
        <x:v>[펌]집필사이트에 대해 자세히 알려줄게</x:v>
      </x:c>
      <x:c r="F338" s="112" t="str">
        <x:v>웹소작법</x:v>
      </x:c>
      <x:c r="G338" s="112" t="str">
        <x:v>웹소설 직접</x:v>
      </x:c>
      <x:c r="H338" s="112" t="str">
        <x:v>작법·상업성</x:v>
      </x:c>
      <x:c r="I338" s="112" t="n">
        <x:v>3</x:v>
      </x:c>
      <x:c r="J338" s="112" t="str">
        <x:v>설정, 작법</x:v>
      </x:c>
      <x:c r="K338" s="112" t="str">
        <x:v>재게시</x:v>
      </x:c>
      <x:c r="L338" s="112" t="str">
        <x:v>높음</x:v>
      </x:c>
      <x:c r="M338" s="112" t="str">
        <x:v>제목의 펌/퍼옴 표시</x:v>
      </x:c>
      <x:c r="N338" s="116" t="str">
        <x:v>https://gall.dcinside.com/mgallery/board/view/?id=tgijjdd&amp;no=290715&amp;exception_mode=recommend&amp;page=1</x:v>
      </x:c>
      <x:c r="O338" s="116" t="str">
        <x:v>https://m.blog.naver.com/sntu2010/221881869255</x:v>
      </x:c>
      <x:c r="P338" s="112" t="str">
        <x:v>아니오</x:v>
      </x:c>
      <x:c r="Q338" s="113" t="str">
        <x:v>자동 분류·표본 검토 대상</x:v>
      </x:c>
    </x:row>
    <x:row r="339">
      <x:c r="A339" s="100" t="n">
        <x:v>338</x:v>
      </x:c>
      <x:c r="B339" s="101" t="n">
        <x:v>43920</x:v>
      </x:c>
      <x:c r="C339" s="102" t="n">
        <x:v>2020</x:v>
      </x:c>
      <x:c r="D339" s="103" t="str">
        <x:v>ID-221880958451</x:v>
      </x:c>
      <x:c r="E339" s="112" t="str">
        <x:v>[펌]집중하게 되는 집필 사이트</x:v>
      </x:c>
      <x:c r="F339" s="112" t="str">
        <x:v>웹소작법</x:v>
      </x:c>
      <x:c r="G339" s="112" t="str">
        <x:v>웹소설 직접</x:v>
      </x:c>
      <x:c r="H339" s="112" t="str">
        <x:v>작법·상업성</x:v>
      </x:c>
      <x:c r="I339" s="112" t="n">
        <x:v>4</x:v>
      </x:c>
      <x:c r="J339" s="112" t="str">
        <x:v>설정, 문장, 작법</x:v>
      </x:c>
      <x:c r="K339" s="112" t="str">
        <x:v>재게시</x:v>
      </x:c>
      <x:c r="L339" s="112" t="str">
        <x:v>높음</x:v>
      </x:c>
      <x:c r="M339" s="112" t="str">
        <x:v>제목의 펌/퍼옴 표시</x:v>
      </x:c>
      <x:c r="N339" s="116" t="str">
        <x:v>https://gall.dcinside.com/mgallery/board/view/?id=tgijjdd&amp;no=289798&amp;exception_mode=recommend&amp;page=1</x:v>
      </x:c>
      <x:c r="O339" s="116" t="str">
        <x:v>https://m.blog.naver.com/sntu2010/221880958451</x:v>
      </x:c>
      <x:c r="P339" s="112" t="str">
        <x:v>아니오</x:v>
      </x:c>
      <x:c r="Q339" s="113" t="str">
        <x:v>자동 분류·표본 검토 대상</x:v>
      </x:c>
    </x:row>
    <x:row r="340">
      <x:c r="A340" s="100" t="n">
        <x:v>339</x:v>
      </x:c>
      <x:c r="B340" s="101" t="n">
        <x:v>43920</x:v>
      </x:c>
      <x:c r="C340" s="102" t="n">
        <x:v>2020</x:v>
      </x:c>
      <x:c r="D340" s="103" t="str">
        <x:v>ID-221880946156</x:v>
      </x:c>
      <x:c r="E340" s="112" t="str">
        <x:v>[펌]전업 작가의 현실 by 노쓰우드 작가님</x:v>
      </x:c>
      <x:c r="F340" s="112" t="str">
        <x:v>웹소작법</x:v>
      </x:c>
      <x:c r="G340" s="112" t="str">
        <x:v>웹소설 직접</x:v>
      </x:c>
      <x:c r="H340" s="112" t="str">
        <x:v>수익·운영</x:v>
      </x:c>
      <x:c r="I340" s="112" t="n">
        <x:v>20</x:v>
      </x:c>
      <x:c r="J340" s="112" t="str">
        <x:v>전업</x:v>
      </x:c>
      <x:c r="K340" s="112" t="str">
        <x:v>재게시</x:v>
      </x:c>
      <x:c r="L340" s="112" t="str">
        <x:v>높음</x:v>
      </x:c>
      <x:c r="M340" s="112" t="str">
        <x:v>제목의 펌/퍼옴 표시</x:v>
      </x:c>
      <x:c r="N340" s="116" t="str">
        <x:v>https://gall.dcinside.com/mgallery/board/view/?id=tgijjdd&amp;no=290633&amp;page=1</x:v>
      </x:c>
      <x:c r="O340" s="116" t="str">
        <x:v>https://m.blog.naver.com/sntu2010/221880946156</x:v>
      </x:c>
      <x:c r="P340" s="112" t="str">
        <x:v>예</x:v>
      </x:c>
      <x:c r="Q340" s="113" t="str">
        <x:v>자동 분류·표본 검토 대상</x:v>
      </x:c>
    </x:row>
    <x:row r="341">
      <x:c r="A341" s="100" t="n">
        <x:v>340</x:v>
      </x:c>
      <x:c r="B341" s="101" t="n">
        <x:v>43919</x:v>
      </x:c>
      <x:c r="C341" s="102" t="n">
        <x:v>2020</x:v>
      </x:c>
      <x:c r="D341" s="103" t="str">
        <x:v>ID-221879079725</x:v>
      </x:c>
      <x:c r="E341" s="112" t="str">
        <x:v>카페에 일하러 갔는데 코드 꽂을 곳이 없다?</x:v>
      </x:c>
      <x:c r="F341" s="112" t="str">
        <x:v>웹소생각</x:v>
      </x:c>
      <x:c r="G341" s="112" t="str">
        <x:v>웹소설 직접</x:v>
      </x:c>
      <x:c r="H341" s="112" t="str">
        <x:v>기타/검토</x:v>
      </x:c>
      <x:c r="I341" s="112" t="n">
        <x:v>0</x:v>
      </x:c>
      <x:c r="J341" s="112" t="str"/>
      <x:c r="K341" s="112" t="str">
        <x:v>본인 작성/의견 추정</x:v>
      </x:c>
      <x:c r="L341" s="112" t="str">
        <x:v>낮음</x:v>
      </x:c>
      <x:c r="M341" s="112" t="str">
        <x:v>재게시 표시는 없으나 저자성 직접 증거 부족</x:v>
      </x:c>
      <x:c r="N341" s="116" t="str"/>
      <x:c r="O341" s="116" t="str">
        <x:v>https://m.blog.naver.com/sntu2010/221879079725</x:v>
      </x:c>
      <x:c r="P341" s="112" t="str">
        <x:v>아니오</x:v>
      </x:c>
      <x:c r="Q341" s="113" t="str">
        <x:v>수동 검토 필요</x:v>
      </x:c>
    </x:row>
    <x:row r="342">
      <x:c r="A342" s="100" t="n">
        <x:v>341</x:v>
      </x:c>
      <x:c r="B342" s="101" t="n">
        <x:v>43919</x:v>
      </x:c>
      <x:c r="C342" s="102" t="n">
        <x:v>2020</x:v>
      </x:c>
      <x:c r="D342" s="103" t="str">
        <x:v>ID-221879052459</x:v>
      </x:c>
      <x:c r="E342" s="112" t="str">
        <x:v>작가들이 두려워 하는 '정전'을 대비하는 방법!</x:v>
      </x:c>
      <x:c r="F342" s="112" t="str">
        <x:v>웹툰생각</x:v>
      </x:c>
      <x:c r="G342" s="112" t="str">
        <x:v>웹툰 참고</x:v>
      </x:c>
      <x:c r="H342" s="112" t="str">
        <x:v>기타/검토</x:v>
      </x:c>
      <x:c r="I342" s="112" t="n">
        <x:v>0</x:v>
      </x:c>
      <x:c r="J342" s="112" t="str"/>
      <x:c r="K342" s="112" t="str">
        <x:v>본인 작성/의견 추정</x:v>
      </x:c>
      <x:c r="L342" s="112" t="str">
        <x:v>낮음</x:v>
      </x:c>
      <x:c r="M342" s="112" t="str">
        <x:v>재게시 표시는 없으나 저자성 직접 증거 부족</x:v>
      </x:c>
      <x:c r="N342" s="116" t="str"/>
      <x:c r="O342" s="116" t="str">
        <x:v>https://m.blog.naver.com/sntu2010/221879052459</x:v>
      </x:c>
      <x:c r="P342" s="112" t="str">
        <x:v>아니오</x:v>
      </x:c>
      <x:c r="Q342" s="113" t="str">
        <x:v>수동 검토 필요</x:v>
      </x:c>
    </x:row>
    <x:row r="343">
      <x:c r="A343" s="100" t="n">
        <x:v>342</x:v>
      </x:c>
      <x:c r="B343" s="101" t="n">
        <x:v>43915</x:v>
      </x:c>
      <x:c r="C343" s="102" t="n">
        <x:v>2020</x:v>
      </x:c>
      <x:c r="D343" s="103" t="str">
        <x:v>ID-221872109766</x:v>
      </x:c>
      <x:c r="E343" s="112" t="str">
        <x:v>[펌]인체 도형화에 대한 조금은 깊은 잡설. (독학팁)</x:v>
      </x:c>
      <x:c r="F343" s="112" t="str">
        <x:v>웹툰작법</x:v>
      </x:c>
      <x:c r="G343" s="112" t="str">
        <x:v>웹툰 참고</x:v>
      </x:c>
      <x:c r="H343" s="112" t="str">
        <x:v>작법·상업성</x:v>
      </x:c>
      <x:c r="I343" s="112" t="n">
        <x:v>1</x:v>
      </x:c>
      <x:c r="J343" s="112" t="str">
        <x:v>작법</x:v>
      </x:c>
      <x:c r="K343" s="112" t="str">
        <x:v>재게시</x:v>
      </x:c>
      <x:c r="L343" s="112" t="str">
        <x:v>높음</x:v>
      </x:c>
      <x:c r="M343" s="112" t="str">
        <x:v>제목의 펌/퍼옴 표시</x:v>
      </x:c>
      <x:c r="N343" s="116" t="str">
        <x:v>https://gall.dcinside.com/mgallery/board/view/?id=drawing&amp;no=34637&amp;exception_mode=recommend&amp;search_head=110&amp;page=2</x:v>
      </x:c>
      <x:c r="O343" s="116" t="str">
        <x:v>https://m.blog.naver.com/sntu2010/221872109766</x:v>
      </x:c>
      <x:c r="P343" s="112" t="str">
        <x:v>아니오</x:v>
      </x:c>
      <x:c r="Q343" s="113" t="str">
        <x:v>자동 분류·표본 검토 대상</x:v>
      </x:c>
    </x:row>
    <x:row r="344">
      <x:c r="A344" s="100" t="n">
        <x:v>343</x:v>
      </x:c>
      <x:c r="B344" s="101" t="n">
        <x:v>43915</x:v>
      </x:c>
      <x:c r="C344" s="102" t="n">
        <x:v>2020</x:v>
      </x:c>
      <x:c r="D344" s="103" t="str">
        <x:v>ID-221872102589</x:v>
      </x:c>
      <x:c r="E344" s="112" t="str">
        <x:v>[펌]선긋기 연습에 대한 개인적 견해 그리고 잡설</x:v>
      </x:c>
      <x:c r="F344" s="112" t="str">
        <x:v>웹툰작법</x:v>
      </x:c>
      <x:c r="G344" s="112" t="str">
        <x:v>웹툰 참고</x:v>
      </x:c>
      <x:c r="H344" s="112" t="str">
        <x:v>작법·상업성</x:v>
      </x:c>
      <x:c r="I344" s="112" t="n">
        <x:v>1</x:v>
      </x:c>
      <x:c r="J344" s="112" t="str">
        <x:v>작법</x:v>
      </x:c>
      <x:c r="K344" s="112" t="str">
        <x:v>재게시</x:v>
      </x:c>
      <x:c r="L344" s="112" t="str">
        <x:v>높음</x:v>
      </x:c>
      <x:c r="M344" s="112" t="str">
        <x:v>제목의 펌/퍼옴 표시</x:v>
      </x:c>
      <x:c r="N344" s="116" t="str">
        <x:v>https://gall.dcinside.com/mgallery/board/view/?id=drawing&amp;no=33480&amp;exception_mode=recommend&amp;search_head=110&amp;page=2</x:v>
      </x:c>
      <x:c r="O344" s="116" t="str">
        <x:v>https://m.blog.naver.com/sntu2010/221872102589</x:v>
      </x:c>
      <x:c r="P344" s="112" t="str">
        <x:v>아니오</x:v>
      </x:c>
      <x:c r="Q344" s="113" t="str">
        <x:v>자동 분류·표본 검토 대상</x:v>
      </x:c>
    </x:row>
    <x:row r="345">
      <x:c r="A345" s="100" t="n">
        <x:v>344</x:v>
      </x:c>
      <x:c r="B345" s="101" t="n">
        <x:v>43915</x:v>
      </x:c>
      <x:c r="C345" s="102" t="n">
        <x:v>2020</x:v>
      </x:c>
      <x:c r="D345" s="103" t="str">
        <x:v>ID-221871946857</x:v>
      </x:c>
      <x:c r="E345" s="112" t="str">
        <x:v>[펌]초보가 깨달은 여성 인체 그리기</x:v>
      </x:c>
      <x:c r="F345" s="112" t="str">
        <x:v>웹툰작법</x:v>
      </x:c>
      <x:c r="G345" s="112" t="str">
        <x:v>웹툰 참고</x:v>
      </x:c>
      <x:c r="H345" s="112" t="str">
        <x:v>캐릭터·전개</x:v>
      </x:c>
      <x:c r="I345" s="112" t="n">
        <x:v>1</x:v>
      </x:c>
      <x:c r="J345" s="112" t="str">
        <x:v>인물</x:v>
      </x:c>
      <x:c r="K345" s="112" t="str">
        <x:v>재게시</x:v>
      </x:c>
      <x:c r="L345" s="112" t="str">
        <x:v>높음</x:v>
      </x:c>
      <x:c r="M345" s="112" t="str">
        <x:v>제목의 펌/퍼옴 표시</x:v>
      </x:c>
      <x:c r="N345" s="116" t="str">
        <x:v>https://gall.dcinside.com/mgallery/board/view/?id=drawing&amp;no=39252&amp;exception_mode=recommend&amp;search_head=110&amp;page=1</x:v>
      </x:c>
      <x:c r="O345" s="116" t="str">
        <x:v>https://m.blog.naver.com/sntu2010/221871946857</x:v>
      </x:c>
      <x:c r="P345" s="112" t="str">
        <x:v>아니오</x:v>
      </x:c>
      <x:c r="Q345" s="113" t="str">
        <x:v>자동 분류·표본 검토 대상</x:v>
      </x:c>
    </x:row>
    <x:row r="346">
      <x:c r="A346" s="100" t="n">
        <x:v>345</x:v>
      </x:c>
      <x:c r="B346" s="101" t="n">
        <x:v>43915</x:v>
      </x:c>
      <x:c r="C346" s="102" t="n">
        <x:v>2020</x:v>
      </x:c>
      <x:c r="D346" s="103" t="str">
        <x:v>ID-221871799025</x:v>
      </x:c>
      <x:c r="E346" s="112" t="str">
        <x:v>[펌]뭘 해야할지 모르면 정리해줄게 보고가</x:v>
      </x:c>
      <x:c r="F346" s="112" t="str">
        <x:v>웹툰작법</x:v>
      </x:c>
      <x:c r="G346" s="112" t="str">
        <x:v>웹툰 참고</x:v>
      </x:c>
      <x:c r="H346" s="112" t="str">
        <x:v>작법·상업성</x:v>
      </x:c>
      <x:c r="I346" s="112" t="n">
        <x:v>2</x:v>
      </x:c>
      <x:c r="J346" s="112" t="str">
        <x:v>상업, 작법</x:v>
      </x:c>
      <x:c r="K346" s="112" t="str">
        <x:v>재게시</x:v>
      </x:c>
      <x:c r="L346" s="112" t="str">
        <x:v>높음</x:v>
      </x:c>
      <x:c r="M346" s="112" t="str">
        <x:v>제목의 펌/퍼옴 표시</x:v>
      </x:c>
      <x:c r="N346" s="116" t="str">
        <x:v>https://gall.dcinside.com/mgallery/board/view/?id=drawing&amp;no=40310&amp;exception_mode=recommend&amp;search_head=110&amp;page=1</x:v>
      </x:c>
      <x:c r="O346" s="116" t="str">
        <x:v>https://m.blog.naver.com/sntu2010/221871799025</x:v>
      </x:c>
      <x:c r="P346" s="112" t="str">
        <x:v>아니오</x:v>
      </x:c>
      <x:c r="Q346" s="113" t="str">
        <x:v>자동 분류·표본 검토 대상</x:v>
      </x:c>
    </x:row>
    <x:row r="347">
      <x:c r="A347" s="100" t="n">
        <x:v>346</x:v>
      </x:c>
      <x:c r="B347" s="101" t="n">
        <x:v>43914</x:v>
      </x:c>
      <x:c r="C347" s="102" t="n">
        <x:v>2020</x:v>
      </x:c>
      <x:c r="D347" s="103" t="str">
        <x:v>ID-221871788553</x:v>
      </x:c>
      <x:c r="E347" s="112" t="str">
        <x:v>[펌]그림을 그릴떄 마인드가 중요한부분을 차지하는 이유</x:v>
      </x:c>
      <x:c r="F347" s="112" t="str">
        <x:v>웹툰작법</x:v>
      </x:c>
      <x:c r="G347" s="112" t="str">
        <x:v>웹툰 참고</x:v>
      </x:c>
      <x:c r="H347" s="112" t="str">
        <x:v>작법·상업성</x:v>
      </x:c>
      <x:c r="I347" s="112" t="n">
        <x:v>2</x:v>
      </x:c>
      <x:c r="J347" s="112" t="str">
        <x:v>상업, 작법</x:v>
      </x:c>
      <x:c r="K347" s="112" t="str">
        <x:v>재게시</x:v>
      </x:c>
      <x:c r="L347" s="112" t="str">
        <x:v>높음</x:v>
      </x:c>
      <x:c r="M347" s="112" t="str">
        <x:v>제목의 펌/퍼옴 표시</x:v>
      </x:c>
      <x:c r="N347" s="116" t="str">
        <x:v>https://gall.dcinside.com/mgallery/board/view/?id=drawing&amp;no=41308&amp;exception_mode=recommend&amp;search_head=110&amp;page=1</x:v>
      </x:c>
      <x:c r="O347" s="116" t="str">
        <x:v>https://m.blog.naver.com/sntu2010/221871788553</x:v>
      </x:c>
      <x:c r="P347" s="112" t="str">
        <x:v>아니오</x:v>
      </x:c>
      <x:c r="Q347" s="113" t="str">
        <x:v>자동 분류·표본 검토 대상</x:v>
      </x:c>
    </x:row>
    <x:row r="348">
      <x:c r="A348" s="100" t="n">
        <x:v>347</x:v>
      </x:c>
      <x:c r="B348" s="101" t="n">
        <x:v>43913</x:v>
      </x:c>
      <x:c r="C348" s="102" t="n">
        <x:v>2020</x:v>
      </x:c>
      <x:c r="D348" s="103" t="str">
        <x:v>ID-221868551523</x:v>
      </x:c>
      <x:c r="E348" s="112" t="str">
        <x:v>[펌]모작을 통한 선 느낌 연습</x:v>
      </x:c>
      <x:c r="F348" s="112" t="str">
        <x:v>웹툰작법</x:v>
      </x:c>
      <x:c r="G348" s="112" t="str">
        <x:v>웹툰 참고</x:v>
      </x:c>
      <x:c r="H348" s="112" t="str">
        <x:v>작법·상업성</x:v>
      </x:c>
      <x:c r="I348" s="112" t="n">
        <x:v>1</x:v>
      </x:c>
      <x:c r="J348" s="112" t="str">
        <x:v>작법</x:v>
      </x:c>
      <x:c r="K348" s="112" t="str">
        <x:v>재게시</x:v>
      </x:c>
      <x:c r="L348" s="112" t="str">
        <x:v>높음</x:v>
      </x:c>
      <x:c r="M348" s="112" t="str">
        <x:v>제목의 펌/퍼옴 표시</x:v>
      </x:c>
      <x:c r="N348" s="116" t="str">
        <x:v>https://gall.dcinside.com/mgallery/board/view/?id=drawing&amp;no=45464&amp;exception_mode=recommend&amp;search_head=110&amp;page=1</x:v>
      </x:c>
      <x:c r="O348" s="116" t="str">
        <x:v>https://m.blog.naver.com/sntu2010/221868551523</x:v>
      </x:c>
      <x:c r="P348" s="112" t="str">
        <x:v>아니오</x:v>
      </x:c>
      <x:c r="Q348" s="113" t="str">
        <x:v>자동 분류·표본 검토 대상</x:v>
      </x:c>
    </x:row>
    <x:row r="349">
      <x:c r="A349" s="100" t="n">
        <x:v>348</x:v>
      </x:c>
      <x:c r="B349" s="101" t="n">
        <x:v>43913</x:v>
      </x:c>
      <x:c r="C349" s="102" t="n">
        <x:v>2020</x:v>
      </x:c>
      <x:c r="D349" s="103" t="str">
        <x:v>ID-221868547932</x:v>
      </x:c>
      <x:c r="E349" s="112" t="str">
        <x:v>[펌]그림 그릴 때 도움되는 사이트 올려본다</x:v>
      </x:c>
      <x:c r="F349" s="112" t="str">
        <x:v>웹툰작법</x:v>
      </x:c>
      <x:c r="G349" s="112" t="str">
        <x:v>웹툰 참고</x:v>
      </x:c>
      <x:c r="H349" s="112" t="str">
        <x:v>작법·상업성</x:v>
      </x:c>
      <x:c r="I349" s="112" t="n">
        <x:v>1</x:v>
      </x:c>
      <x:c r="J349" s="112" t="str">
        <x:v>작법</x:v>
      </x:c>
      <x:c r="K349" s="112" t="str">
        <x:v>재게시</x:v>
      </x:c>
      <x:c r="L349" s="112" t="str">
        <x:v>높음</x:v>
      </x:c>
      <x:c r="M349" s="112" t="str">
        <x:v>제목의 펌/퍼옴 표시</x:v>
      </x:c>
      <x:c r="N349" s="116" t="str">
        <x:v>https://gall.dcinside.com/mgallery/board/view/?id=drawing&amp;no=44910&amp;exception_mode=recommend&amp;search_head=110&amp;page=1</x:v>
      </x:c>
      <x:c r="O349" s="116" t="str">
        <x:v>https://m.blog.naver.com/sntu2010/221868547932</x:v>
      </x:c>
      <x:c r="P349" s="112" t="str">
        <x:v>아니오</x:v>
      </x:c>
      <x:c r="Q349" s="113" t="str">
        <x:v>자동 분류·표본 검토 대상</x:v>
      </x:c>
    </x:row>
    <x:row r="350">
      <x:c r="A350" s="100" t="n">
        <x:v>349</x:v>
      </x:c>
      <x:c r="B350" s="101" t="n">
        <x:v>43913</x:v>
      </x:c>
      <x:c r="C350" s="102" t="n">
        <x:v>2020</x:v>
      </x:c>
      <x:c r="D350" s="103" t="str">
        <x:v>ID-221868490912</x:v>
      </x:c>
      <x:c r="E350" s="112" t="str">
        <x:v>[펌]플룻 짜는 데 도움될 것 같아서 써봄</x:v>
      </x:c>
      <x:c r="F350" s="112" t="str">
        <x:v>웹소작법</x:v>
      </x:c>
      <x:c r="G350" s="112" t="str">
        <x:v>웹소설 직접</x:v>
      </x:c>
      <x:c r="H350" s="112" t="str">
        <x:v>캐릭터·전개</x:v>
      </x:c>
      <x:c r="I350" s="112" t="n">
        <x:v>8</x:v>
      </x:c>
      <x:c r="J350" s="112" t="str">
        <x:v>주인공, 인물, 악역, 조연, 히로인</x:v>
      </x:c>
      <x:c r="K350" s="112" t="str">
        <x:v>재게시</x:v>
      </x:c>
      <x:c r="L350" s="112" t="str">
        <x:v>높음</x:v>
      </x:c>
      <x:c r="M350" s="112" t="str">
        <x:v>제목의 펌/퍼옴 표시</x:v>
      </x:c>
      <x:c r="N350" s="116" t="str">
        <x:v>https://gall.dcinside.com/mgallery/board/view/?id=tgijjdd&amp;no=286121&amp;exception_mode=recommend&amp;page=1</x:v>
      </x:c>
      <x:c r="O350" s="116" t="str">
        <x:v>https://m.blog.naver.com/sntu2010/221868490912</x:v>
      </x:c>
      <x:c r="P350" s="112" t="str">
        <x:v>예</x:v>
      </x:c>
      <x:c r="Q350" s="113" t="str">
        <x:v>자동 분류·표본 검토 대상</x:v>
      </x:c>
    </x:row>
    <x:row r="351">
      <x:c r="A351" s="100" t="n">
        <x:v>350</x:v>
      </x:c>
      <x:c r="B351" s="101" t="n">
        <x:v>43908</x:v>
      </x:c>
      <x:c r="C351" s="102" t="n">
        <x:v>2020</x:v>
      </x:c>
      <x:c r="D351" s="103" t="str">
        <x:v>ID-221860987054</x:v>
      </x:c>
      <x:c r="E351" s="112" t="str">
        <x:v>[펌]전업작가 세금에 대해서 쓴다</x:v>
      </x:c>
      <x:c r="F351" s="112" t="str">
        <x:v>웹소작법</x:v>
      </x:c>
      <x:c r="G351" s="112" t="str">
        <x:v>웹소설 직접</x:v>
      </x:c>
      <x:c r="H351" s="112" t="str">
        <x:v>수익·운영</x:v>
      </x:c>
      <x:c r="I351" s="112" t="n">
        <x:v>48</x:v>
      </x:c>
      <x:c r="J351" s="112" t="str">
        <x:v>전업, 세금, 정산, 수익, 수입</x:v>
      </x:c>
      <x:c r="K351" s="112" t="str">
        <x:v>재게시</x:v>
      </x:c>
      <x:c r="L351" s="112" t="str">
        <x:v>높음</x:v>
      </x:c>
      <x:c r="M351" s="112" t="str">
        <x:v>제목의 펌/퍼옴 표시</x:v>
      </x:c>
      <x:c r="N351" s="116" t="str">
        <x:v>https://gall.dcinside.com/mgallery/board/view/?id=tgijjdd&amp;no=282766&amp;s_type=search_all&amp;s_keyword=%EC%84%B8%EA%B8%88&amp;page=1</x:v>
      </x:c>
      <x:c r="O351" s="116" t="str">
        <x:v>https://m.blog.naver.com/sntu2010/221860987054</x:v>
      </x:c>
      <x:c r="P351" s="112" t="str">
        <x:v>예</x:v>
      </x:c>
      <x:c r="Q351" s="113" t="str">
        <x:v>자동 분류·표본 검토 대상</x:v>
      </x:c>
    </x:row>
    <x:row r="352">
      <x:c r="A352" s="100" t="n">
        <x:v>351</x:v>
      </x:c>
      <x:c r="B352" s="101" t="n">
        <x:v>43908</x:v>
      </x:c>
      <x:c r="C352" s="102" t="n">
        <x:v>2020</x:v>
      </x:c>
      <x:c r="D352" s="103" t="str">
        <x:v>ID-221860985284</x:v>
      </x:c>
      <x:c r="E352" s="112" t="str">
        <x:v>[펌]욕 안 먹는 히로인을 쓰는 법에 관한 고찰</x:v>
      </x:c>
      <x:c r="F352" s="112" t="str">
        <x:v>웹소작법</x:v>
      </x:c>
      <x:c r="G352" s="112" t="str">
        <x:v>웹소설 직접</x:v>
      </x:c>
      <x:c r="H352" s="112" t="str">
        <x:v>캐릭터·전개</x:v>
      </x:c>
      <x:c r="I352" s="112" t="n">
        <x:v>28</x:v>
      </x:c>
      <x:c r="J352" s="112" t="str">
        <x:v>히로인</x:v>
      </x:c>
      <x:c r="K352" s="112" t="str">
        <x:v>재게시</x:v>
      </x:c>
      <x:c r="L352" s="112" t="str">
        <x:v>높음</x:v>
      </x:c>
      <x:c r="M352" s="112" t="str">
        <x:v>제목의 펌/퍼옴 표시</x:v>
      </x:c>
      <x:c r="N352" s="116" t="str">
        <x:v>https://gall.dcinside.com/mgallery/board/view/?id=tgijjdd&amp;no=282671&amp;s_type=search_all&amp;s_keyword=%EB%AC%98%EC%82%AC&amp;page=1</x:v>
      </x:c>
      <x:c r="O352" s="116" t="str">
        <x:v>https://m.blog.naver.com/sntu2010/221860985284</x:v>
      </x:c>
      <x:c r="P352" s="112" t="str">
        <x:v>예</x:v>
      </x:c>
      <x:c r="Q352" s="113" t="str">
        <x:v>자동 분류·표본 검토 대상</x:v>
      </x:c>
    </x:row>
    <x:row r="353">
      <x:c r="A353" s="100" t="n">
        <x:v>352</x:v>
      </x:c>
      <x:c r="B353" s="101" t="n">
        <x:v>43905</x:v>
      </x:c>
      <x:c r="C353" s="102" t="n">
        <x:v>2020</x:v>
      </x:c>
      <x:c r="D353" s="103" t="str">
        <x:v>ID-221855635341</x:v>
      </x:c>
      <x:c r="E353" s="112" t="str">
        <x:v>[공유] 006 _스케치업 웹툰 배경에 활용하기.</x:v>
      </x:c>
      <x:c r="F353" s="112" t="str">
        <x:v>웹툰작법</x:v>
      </x:c>
      <x:c r="G353" s="112" t="str">
        <x:v>웹툰 참고</x:v>
      </x:c>
      <x:c r="H353" s="112" t="str">
        <x:v>작법·상업성</x:v>
      </x:c>
      <x:c r="I353" s="112" t="n">
        <x:v>1</x:v>
      </x:c>
      <x:c r="J353" s="112" t="str">
        <x:v>작법</x:v>
      </x:c>
      <x:c r="K353" s="112" t="str">
        <x:v>본인 작성/의견 추정</x:v>
      </x:c>
      <x:c r="L353" s="112" t="str">
        <x:v>낮음</x:v>
      </x:c>
      <x:c r="M353" s="112" t="str">
        <x:v>재게시 표시는 없으나 저자성 직접 증거 부족</x:v>
      </x:c>
      <x:c r="N353" s="116" t="str"/>
      <x:c r="O353" s="116" t="str">
        <x:v>https://m.blog.naver.com/sntu2010/221855635341</x:v>
      </x:c>
      <x:c r="P353" s="112" t="str">
        <x:v>아니오</x:v>
      </x:c>
      <x:c r="Q353" s="113" t="str">
        <x:v>수동 검토 필요</x:v>
      </x:c>
    </x:row>
    <x:row r="354">
      <x:c r="A354" s="100" t="n">
        <x:v>353</x:v>
      </x:c>
      <x:c r="B354" s="101" t="n">
        <x:v>43905</x:v>
      </x:c>
      <x:c r="C354" s="102" t="n">
        <x:v>2020</x:v>
      </x:c>
      <x:c r="D354" s="103" t="str">
        <x:v>ID-221855635209</x:v>
      </x:c>
      <x:c r="E354" s="112" t="str">
        <x:v>[공유] 005 _날로먹는 배경 트레이싱</x:v>
      </x:c>
      <x:c r="F354" s="112" t="str">
        <x:v>웹툰작법</x:v>
      </x:c>
      <x:c r="G354" s="112" t="str">
        <x:v>웹툰 참고</x:v>
      </x:c>
      <x:c r="H354" s="112" t="str">
        <x:v>작법·상업성</x:v>
      </x:c>
      <x:c r="I354" s="112" t="n">
        <x:v>1</x:v>
      </x:c>
      <x:c r="J354" s="112" t="str">
        <x:v>작법</x:v>
      </x:c>
      <x:c r="K354" s="112" t="str">
        <x:v>본인 작성/의견 추정</x:v>
      </x:c>
      <x:c r="L354" s="112" t="str">
        <x:v>낮음</x:v>
      </x:c>
      <x:c r="M354" s="112" t="str">
        <x:v>재게시 표시는 없으나 저자성 직접 증거 부족</x:v>
      </x:c>
      <x:c r="N354" s="116" t="str"/>
      <x:c r="O354" s="116" t="str">
        <x:v>https://m.blog.naver.com/sntu2010/221855635209</x:v>
      </x:c>
      <x:c r="P354" s="112" t="str">
        <x:v>아니오</x:v>
      </x:c>
      <x:c r="Q354" s="113" t="str">
        <x:v>수동 검토 필요</x:v>
      </x:c>
    </x:row>
    <x:row r="355">
      <x:c r="A355" s="100" t="n">
        <x:v>354</x:v>
      </x:c>
      <x:c r="B355" s="101" t="n">
        <x:v>43905</x:v>
      </x:c>
      <x:c r="C355" s="102" t="n">
        <x:v>2020</x:v>
      </x:c>
      <x:c r="D355" s="103" t="str">
        <x:v>ID-221855634691</x:v>
      </x:c>
      <x:c r="E355" s="112" t="str">
        <x:v>[공유] 004 _일러를 이용하여 패턴 활용하기</x:v>
      </x:c>
      <x:c r="F355" s="112" t="str">
        <x:v>웹툰작법</x:v>
      </x:c>
      <x:c r="G355" s="112" t="str">
        <x:v>웹툰 참고</x:v>
      </x:c>
      <x:c r="H355" s="112" t="str">
        <x:v>작법·상업성</x:v>
      </x:c>
      <x:c r="I355" s="112" t="n">
        <x:v>1</x:v>
      </x:c>
      <x:c r="J355" s="112" t="str">
        <x:v>작법</x:v>
      </x:c>
      <x:c r="K355" s="112" t="str">
        <x:v>본인 작성/의견 추정</x:v>
      </x:c>
      <x:c r="L355" s="112" t="str">
        <x:v>낮음</x:v>
      </x:c>
      <x:c r="M355" s="112" t="str">
        <x:v>재게시 표시는 없으나 저자성 직접 증거 부족</x:v>
      </x:c>
      <x:c r="N355" s="116" t="str"/>
      <x:c r="O355" s="116" t="str">
        <x:v>https://m.blog.naver.com/sntu2010/221855634691</x:v>
      </x:c>
      <x:c r="P355" s="112" t="str">
        <x:v>아니오</x:v>
      </x:c>
      <x:c r="Q355" s="113" t="str">
        <x:v>수동 검토 필요</x:v>
      </x:c>
    </x:row>
    <x:row r="356">
      <x:c r="A356" s="100" t="n">
        <x:v>355</x:v>
      </x:c>
      <x:c r="B356" s="101" t="n">
        <x:v>43905</x:v>
      </x:c>
      <x:c r="C356" s="102" t="n">
        <x:v>2020</x:v>
      </x:c>
      <x:c r="D356" s="103" t="str">
        <x:v>ID-221855634499</x:v>
      </x:c>
      <x:c r="E356" s="112" t="str">
        <x:v>[공유] 003 _색 채우기</x:v>
      </x:c>
      <x:c r="F356" s="112" t="str">
        <x:v>웹툰작법</x:v>
      </x:c>
      <x:c r="G356" s="112" t="str">
        <x:v>웹툰 참고</x:v>
      </x:c>
      <x:c r="H356" s="112" t="str">
        <x:v>작법·상업성</x:v>
      </x:c>
      <x:c r="I356" s="112" t="n">
        <x:v>1</x:v>
      </x:c>
      <x:c r="J356" s="112" t="str">
        <x:v>작법</x:v>
      </x:c>
      <x:c r="K356" s="112" t="str">
        <x:v>본인 작성/의견 추정</x:v>
      </x:c>
      <x:c r="L356" s="112" t="str">
        <x:v>낮음</x:v>
      </x:c>
      <x:c r="M356" s="112" t="str">
        <x:v>재게시 표시는 없으나 저자성 직접 증거 부족</x:v>
      </x:c>
      <x:c r="N356" s="116" t="str"/>
      <x:c r="O356" s="116" t="str">
        <x:v>https://m.blog.naver.com/sntu2010/221855634499</x:v>
      </x:c>
      <x:c r="P356" s="112" t="str">
        <x:v>아니오</x:v>
      </x:c>
      <x:c r="Q356" s="113" t="str">
        <x:v>수동 검토 필요</x:v>
      </x:c>
    </x:row>
    <x:row r="357">
      <x:c r="A357" s="100" t="n">
        <x:v>356</x:v>
      </x:c>
      <x:c r="B357" s="101" t="n">
        <x:v>43905</x:v>
      </x:c>
      <x:c r="C357" s="102" t="n">
        <x:v>2020</x:v>
      </x:c>
      <x:c r="D357" s="103" t="str">
        <x:v>ID-221855634366</x:v>
      </x:c>
      <x:c r="E357" s="112" t="str">
        <x:v>[공유] 002 _배경 지우개 툴</x:v>
      </x:c>
      <x:c r="F357" s="112" t="str">
        <x:v>웹툰작법</x:v>
      </x:c>
      <x:c r="G357" s="112" t="str">
        <x:v>웹툰 참고</x:v>
      </x:c>
      <x:c r="H357" s="112" t="str">
        <x:v>작법·상업성</x:v>
      </x:c>
      <x:c r="I357" s="112" t="n">
        <x:v>1</x:v>
      </x:c>
      <x:c r="J357" s="112" t="str">
        <x:v>작법</x:v>
      </x:c>
      <x:c r="K357" s="112" t="str">
        <x:v>본인 작성/의견 추정</x:v>
      </x:c>
      <x:c r="L357" s="112" t="str">
        <x:v>낮음</x:v>
      </x:c>
      <x:c r="M357" s="112" t="str">
        <x:v>재게시 표시는 없으나 저자성 직접 증거 부족</x:v>
      </x:c>
      <x:c r="N357" s="116" t="str"/>
      <x:c r="O357" s="116" t="str">
        <x:v>https://m.blog.naver.com/sntu2010/221855634366</x:v>
      </x:c>
      <x:c r="P357" s="112" t="str">
        <x:v>아니오</x:v>
      </x:c>
      <x:c r="Q357" s="113" t="str">
        <x:v>수동 검토 필요</x:v>
      </x:c>
    </x:row>
    <x:row r="358">
      <x:c r="A358" s="100" t="n">
        <x:v>357</x:v>
      </x:c>
      <x:c r="B358" s="101" t="n">
        <x:v>43905</x:v>
      </x:c>
      <x:c r="C358" s="102" t="n">
        <x:v>2020</x:v>
      </x:c>
      <x:c r="D358" s="103" t="str">
        <x:v>ID-221855633954</x:v>
      </x:c>
      <x:c r="E358" s="112" t="str">
        <x:v>[공유] 001 _일러스트레이터로 선 따기</x:v>
      </x:c>
      <x:c r="F358" s="112" t="str">
        <x:v>웹툰작법</x:v>
      </x:c>
      <x:c r="G358" s="112" t="str">
        <x:v>웹툰 참고</x:v>
      </x:c>
      <x:c r="H358" s="112" t="str">
        <x:v>작법·상업성</x:v>
      </x:c>
      <x:c r="I358" s="112" t="n">
        <x:v>1</x:v>
      </x:c>
      <x:c r="J358" s="112" t="str">
        <x:v>작법</x:v>
      </x:c>
      <x:c r="K358" s="112" t="str">
        <x:v>본인 작성/의견 추정</x:v>
      </x:c>
      <x:c r="L358" s="112" t="str">
        <x:v>낮음</x:v>
      </x:c>
      <x:c r="M358" s="112" t="str">
        <x:v>재게시 표시는 없으나 저자성 직접 증거 부족</x:v>
      </x:c>
      <x:c r="N358" s="116" t="str"/>
      <x:c r="O358" s="116" t="str">
        <x:v>https://m.blog.naver.com/sntu2010/221855633954</x:v>
      </x:c>
      <x:c r="P358" s="112" t="str">
        <x:v>아니오</x:v>
      </x:c>
      <x:c r="Q358" s="113" t="str">
        <x:v>수동 검토 필요</x:v>
      </x:c>
    </x:row>
    <x:row r="359">
      <x:c r="A359" s="100" t="n">
        <x:v>358</x:v>
      </x:c>
      <x:c r="B359" s="101" t="n">
        <x:v>43902</x:v>
      </x:c>
      <x:c r="C359" s="102" t="n">
        <x:v>2020</x:v>
      </x:c>
      <x:c r="D359" s="103" t="str">
        <x:v>ID-221850507555</x:v>
      </x:c>
      <x:c r="E359" s="112" t="str">
        <x:v>[펌]스크리브너 개꿀팁 3개</x:v>
      </x:c>
      <x:c r="F359" s="112" t="str">
        <x:v>웹소작법</x:v>
      </x:c>
      <x:c r="G359" s="112" t="str">
        <x:v>웹소설 직접</x:v>
      </x:c>
      <x:c r="H359" s="112" t="str">
        <x:v>작법·상업성</x:v>
      </x:c>
      <x:c r="I359" s="112" t="n">
        <x:v>2</x:v>
      </x:c>
      <x:c r="J359" s="112" t="str">
        <x:v>설정, 작법</x:v>
      </x:c>
      <x:c r="K359" s="112" t="str">
        <x:v>재게시</x:v>
      </x:c>
      <x:c r="L359" s="112" t="str">
        <x:v>높음</x:v>
      </x:c>
      <x:c r="M359" s="112" t="str">
        <x:v>제목의 펌/퍼옴 표시</x:v>
      </x:c>
      <x:c r="N359" s="116" t="str">
        <x:v>https://gall.dcinside.com/mgallery/board/view/?id=tgijjdd&amp;no=280569&amp;exception_mode=recommend&amp;page=1</x:v>
      </x:c>
      <x:c r="O359" s="116" t="str">
        <x:v>https://m.blog.naver.com/sntu2010/221850507555</x:v>
      </x:c>
      <x:c r="P359" s="112" t="str">
        <x:v>아니오</x:v>
      </x:c>
      <x:c r="Q359" s="113" t="str">
        <x:v>자동 분류·표본 검토 대상</x:v>
      </x:c>
    </x:row>
    <x:row r="360">
      <x:c r="A360" s="100" t="n">
        <x:v>359</x:v>
      </x:c>
      <x:c r="B360" s="101" t="n">
        <x:v>43902</x:v>
      </x:c>
      <x:c r="C360" s="102" t="n">
        <x:v>2020</x:v>
      </x:c>
      <x:c r="D360" s="103" t="str">
        <x:v>ID-221850505459</x:v>
      </x:c>
      <x:c r="E360" s="112" t="str">
        <x:v>[펌]쓰고 있는 스크리브너 세팅</x:v>
      </x:c>
      <x:c r="F360" s="112" t="str">
        <x:v>웹소작법</x:v>
      </x:c>
      <x:c r="G360" s="112" t="str">
        <x:v>웹소설 직접</x:v>
      </x:c>
      <x:c r="H360" s="112" t="str">
        <x:v>캐릭터·전개</x:v>
      </x:c>
      <x:c r="I360" s="112" t="n">
        <x:v>2</x:v>
      </x:c>
      <x:c r="J360" s="112" t="str">
        <x:v>플롯, 사건</x:v>
      </x:c>
      <x:c r="K360" s="112" t="str">
        <x:v>재게시</x:v>
      </x:c>
      <x:c r="L360" s="112" t="str">
        <x:v>높음</x:v>
      </x:c>
      <x:c r="M360" s="112" t="str">
        <x:v>제목의 펌/퍼옴 표시</x:v>
      </x:c>
      <x:c r="N360" s="116" t="str">
        <x:v>https://gall.dcinside.com/mgallery/board/view/?id=tgijjdd&amp;no=280560&amp;exception_mode=recommend&amp;page=1</x:v>
      </x:c>
      <x:c r="O360" s="116" t="str">
        <x:v>https://m.blog.naver.com/sntu2010/221850505459</x:v>
      </x:c>
      <x:c r="P360" s="112" t="str">
        <x:v>아니오</x:v>
      </x:c>
      <x:c r="Q360" s="113" t="str">
        <x:v>자동 분류·표본 검토 대상</x:v>
      </x:c>
    </x:row>
    <x:row r="361">
      <x:c r="A361" s="100" t="n">
        <x:v>360</x:v>
      </x:c>
      <x:c r="B361" s="101" t="n">
        <x:v>43901</x:v>
      </x:c>
      <x:c r="C361" s="102" t="n">
        <x:v>2020</x:v>
      </x:c>
      <x:c r="D361" s="103" t="str">
        <x:v>ID-221848867566</x:v>
      </x:c>
      <x:c r="E361" s="112" t="str">
        <x:v>[펌]웹소도 가장 기본적인것을 지키는게 어려움.txt</x:v>
      </x:c>
      <x:c r="F361" s="112" t="str">
        <x:v>웹소작법</x:v>
      </x:c>
      <x:c r="G361" s="112" t="str">
        <x:v>웹소설 직접</x:v>
      </x:c>
      <x:c r="H361" s="112" t="str">
        <x:v>캐릭터·전개</x:v>
      </x:c>
      <x:c r="I361" s="112" t="n">
        <x:v>4</x:v>
      </x:c>
      <x:c r="J361" s="112" t="str">
        <x:v>플롯, 주인공, 캐릭터</x:v>
      </x:c>
      <x:c r="K361" s="112" t="str">
        <x:v>재게시</x:v>
      </x:c>
      <x:c r="L361" s="112" t="str">
        <x:v>높음</x:v>
      </x:c>
      <x:c r="M361" s="112" t="str">
        <x:v>제목의 펌/퍼옴 표시</x:v>
      </x:c>
      <x:c r="N361" s="116" t="str">
        <x:v>https://gall.dcinside.com/mgallery/board/view/?id=tgijjdd&amp;no=279493&amp;exception_mode=recommend&amp;page=1</x:v>
      </x:c>
      <x:c r="O361" s="116" t="str">
        <x:v>https://m.blog.naver.com/sntu2010/221848867566</x:v>
      </x:c>
      <x:c r="P361" s="112" t="str">
        <x:v>아니오</x:v>
      </x:c>
      <x:c r="Q361" s="113" t="str">
        <x:v>자동 분류·표본 검토 대상</x:v>
      </x:c>
    </x:row>
    <x:row r="362">
      <x:c r="A362" s="100" t="n">
        <x:v>361</x:v>
      </x:c>
      <x:c r="B362" s="101" t="n">
        <x:v>43898</x:v>
      </x:c>
      <x:c r="C362" s="102" t="n">
        <x:v>2020</x:v>
      </x:c>
      <x:c r="D362" s="103" t="str">
        <x:v>ID-221844213113</x:v>
      </x:c>
      <x:c r="E362" s="112" t="str">
        <x:v>[펌]지도가 필요한 설정딸 작가들을 위한 지도 제작.tip</x:v>
      </x:c>
      <x:c r="F362" s="112" t="str">
        <x:v>웹툰작법</x:v>
      </x:c>
      <x:c r="G362" s="112" t="str">
        <x:v>웹툰 참고</x:v>
      </x:c>
      <x:c r="H362" s="112" t="str">
        <x:v>작법·상업성</x:v>
      </x:c>
      <x:c r="I362" s="112" t="n">
        <x:v>21</x:v>
      </x:c>
      <x:c r="J362" s="112" t="str">
        <x:v>설정, 작법</x:v>
      </x:c>
      <x:c r="K362" s="112" t="str">
        <x:v>재게시</x:v>
      </x:c>
      <x:c r="L362" s="112" t="str">
        <x:v>높음</x:v>
      </x:c>
      <x:c r="M362" s="112" t="str">
        <x:v>제목의 펌/퍼옴 표시</x:v>
      </x:c>
      <x:c r="N362" s="116" t="str">
        <x:v>https://gall.dcinside.com/mgallery/board/view/?id=tgijjdd&amp;no=279115&amp;exception_mode=recommend&amp;page=1</x:v>
      </x:c>
      <x:c r="O362" s="116" t="str">
        <x:v>https://m.blog.naver.com/sntu2010/221844213113</x:v>
      </x:c>
      <x:c r="P362" s="112" t="str">
        <x:v>아니오</x:v>
      </x:c>
      <x:c r="Q362" s="113" t="str">
        <x:v>자동 분류·표본 검토 대상</x:v>
      </x:c>
    </x:row>
    <x:row r="363">
      <x:c r="A363" s="100" t="n">
        <x:v>362</x:v>
      </x:c>
      <x:c r="B363" s="101" t="n">
        <x:v>43898</x:v>
      </x:c>
      <x:c r="C363" s="102" t="n">
        <x:v>2020</x:v>
      </x:c>
      <x:c r="D363" s="103" t="str">
        <x:v>ID-221844207325</x:v>
      </x:c>
      <x:c r="E363" s="112" t="str">
        <x:v>[펌]뉴비쟝의 사진모작을 위해 배워야 할 것에 대한 설명(?)</x:v>
      </x:c>
      <x:c r="F363" s="112" t="str">
        <x:v>웹툰작법</x:v>
      </x:c>
      <x:c r="G363" s="112" t="str">
        <x:v>웹툰 참고</x:v>
      </x:c>
      <x:c r="H363" s="112" t="str">
        <x:v>작법·상업성</x:v>
      </x:c>
      <x:c r="I363" s="112" t="n">
        <x:v>1</x:v>
      </x:c>
      <x:c r="J363" s="112" t="str">
        <x:v>작법</x:v>
      </x:c>
      <x:c r="K363" s="112" t="str">
        <x:v>재게시</x:v>
      </x:c>
      <x:c r="L363" s="112" t="str">
        <x:v>높음</x:v>
      </x:c>
      <x:c r="M363" s="112" t="str">
        <x:v>제목의 펌/퍼옴 표시</x:v>
      </x:c>
      <x:c r="N363" s="116" t="str">
        <x:v>https://gall.dcinside.com/mgallery/board/view/?id=drawing&amp;no=44064&amp;exception_mode=recommend&amp;page=1</x:v>
      </x:c>
      <x:c r="O363" s="116" t="str">
        <x:v>https://m.blog.naver.com/sntu2010/221844207325</x:v>
      </x:c>
      <x:c r="P363" s="112" t="str">
        <x:v>아니오</x:v>
      </x:c>
      <x:c r="Q363" s="113" t="str">
        <x:v>자동 분류·표본 검토 대상</x:v>
      </x:c>
    </x:row>
    <x:row r="364">
      <x:c r="A364" s="100" t="n">
        <x:v>363</x:v>
      </x:c>
      <x:c r="B364" s="101" t="n">
        <x:v>43898</x:v>
      </x:c>
      <x:c r="C364" s="102" t="n">
        <x:v>2020</x:v>
      </x:c>
      <x:c r="D364" s="103" t="str">
        <x:v>ID-221844187870</x:v>
      </x:c>
      <x:c r="E364" s="112" t="str">
        <x:v>[펌]투시도법 교재 강좌 거르는 기준</x:v>
      </x:c>
      <x:c r="F364" s="112" t="str">
        <x:v>웹툰작법</x:v>
      </x:c>
      <x:c r="G364" s="112" t="str">
        <x:v>웹툰 참고</x:v>
      </x:c>
      <x:c r="H364" s="112" t="str">
        <x:v>작법·상업성</x:v>
      </x:c>
      <x:c r="I364" s="112" t="n">
        <x:v>1</x:v>
      </x:c>
      <x:c r="J364" s="112" t="str">
        <x:v>작법</x:v>
      </x:c>
      <x:c r="K364" s="112" t="str">
        <x:v>재게시</x:v>
      </x:c>
      <x:c r="L364" s="112" t="str">
        <x:v>높음</x:v>
      </x:c>
      <x:c r="M364" s="112" t="str">
        <x:v>제목의 펌/퍼옴 표시</x:v>
      </x:c>
      <x:c r="N364" s="116" t="str">
        <x:v>https://gall.dcinside.com/board/view/?id=cartoon_s&amp;no=369113&amp;exception_mode=recommend&amp;page=51</x:v>
      </x:c>
      <x:c r="O364" s="116" t="str">
        <x:v>https://m.blog.naver.com/sntu2010/221844187870</x:v>
      </x:c>
      <x:c r="P364" s="112" t="str">
        <x:v>아니오</x:v>
      </x:c>
      <x:c r="Q364" s="113" t="str">
        <x:v>자동 분류·표본 검토 대상</x:v>
      </x:c>
    </x:row>
    <x:row r="365">
      <x:c r="A365" s="100" t="n">
        <x:v>364</x:v>
      </x:c>
      <x:c r="B365" s="101" t="n">
        <x:v>43898</x:v>
      </x:c>
      <x:c r="C365" s="102" t="n">
        <x:v>2020</x:v>
      </x:c>
      <x:c r="D365" s="103" t="str">
        <x:v>ID-221844179676</x:v>
      </x:c>
      <x:c r="E365" s="112" t="str">
        <x:v>[펌]인체 공부도 정석이 있더군요</x:v>
      </x:c>
      <x:c r="F365" s="112" t="str">
        <x:v>웹툰작법</x:v>
      </x:c>
      <x:c r="G365" s="112" t="str">
        <x:v>웹툰 참고</x:v>
      </x:c>
      <x:c r="H365" s="112" t="str">
        <x:v>작법·상업성</x:v>
      </x:c>
      <x:c r="I365" s="112" t="n">
        <x:v>1</x:v>
      </x:c>
      <x:c r="J365" s="112" t="str">
        <x:v>작법</x:v>
      </x:c>
      <x:c r="K365" s="112" t="str">
        <x:v>재게시</x:v>
      </x:c>
      <x:c r="L365" s="112" t="str">
        <x:v>높음</x:v>
      </x:c>
      <x:c r="M365" s="112" t="str">
        <x:v>제목의 펌/퍼옴 표시</x:v>
      </x:c>
      <x:c r="N365" s="116" t="str">
        <x:v>https://gall.dcinside.com/board/view/?id=cartoon_s&amp;no=194180</x:v>
      </x:c>
      <x:c r="O365" s="116" t="str">
        <x:v>https://m.blog.naver.com/sntu2010/221844179676</x:v>
      </x:c>
      <x:c r="P365" s="112" t="str">
        <x:v>아니오</x:v>
      </x:c>
      <x:c r="Q365" s="113" t="str">
        <x:v>자동 분류·표본 검토 대상</x:v>
      </x:c>
    </x:row>
    <x:row r="366">
      <x:c r="A366" s="100" t="n">
        <x:v>365</x:v>
      </x:c>
      <x:c r="B366" s="101" t="n">
        <x:v>43898</x:v>
      </x:c>
      <x:c r="C366" s="102" t="n">
        <x:v>2020</x:v>
      </x:c>
      <x:c r="D366" s="103" t="str">
        <x:v>ID-221844151978</x:v>
      </x:c>
      <x:c r="E366" s="112" t="str">
        <x:v>[펌]그림쟁이가 고통받을 수밖에 없는 이유.eu</x:v>
      </x:c>
      <x:c r="F366" s="112" t="str">
        <x:v>웹툰작법</x:v>
      </x:c>
      <x:c r="G366" s="112" t="str">
        <x:v>웹툰 참고</x:v>
      </x:c>
      <x:c r="H366" s="112" t="str">
        <x:v>작법·상업성</x:v>
      </x:c>
      <x:c r="I366" s="112" t="n">
        <x:v>1</x:v>
      </x:c>
      <x:c r="J366" s="112" t="str">
        <x:v>작법</x:v>
      </x:c>
      <x:c r="K366" s="112" t="str">
        <x:v>재게시</x:v>
      </x:c>
      <x:c r="L366" s="112" t="str">
        <x:v>높음</x:v>
      </x:c>
      <x:c r="M366" s="112" t="str">
        <x:v>제목의 펌/퍼옴 표시</x:v>
      </x:c>
      <x:c r="N366" s="116" t="str">
        <x:v>https://gall.dcinside.com/board/view/?id=cartoon_s&amp;no=342246&amp;exception_mode=recommend&amp;page=82</x:v>
      </x:c>
      <x:c r="O366" s="116" t="str">
        <x:v>https://m.blog.naver.com/sntu2010/221844151978</x:v>
      </x:c>
      <x:c r="P366" s="112" t="str">
        <x:v>아니오</x:v>
      </x:c>
      <x:c r="Q366" s="113" t="str">
        <x:v>자동 분류·표본 검토 대상</x:v>
      </x:c>
    </x:row>
    <x:row r="367">
      <x:c r="A367" s="100" t="n">
        <x:v>366</x:v>
      </x:c>
      <x:c r="B367" s="101" t="n">
        <x:v>43898</x:v>
      </x:c>
      <x:c r="C367" s="102" t="n">
        <x:v>2020</x:v>
      </x:c>
      <x:c r="D367" s="103" t="str">
        <x:v>ID-221843812094</x:v>
      </x:c>
      <x:c r="E367" s="112" t="str">
        <x:v>[펌]면으로 그리는 리얼팁</x:v>
      </x:c>
      <x:c r="F367" s="112" t="str">
        <x:v>웹툰작법</x:v>
      </x:c>
      <x:c r="G367" s="112" t="str">
        <x:v>웹툰 참고</x:v>
      </x:c>
      <x:c r="H367" s="112" t="str">
        <x:v>작법·상업성</x:v>
      </x:c>
      <x:c r="I367" s="112" t="n">
        <x:v>1</x:v>
      </x:c>
      <x:c r="J367" s="112" t="str">
        <x:v>작법</x:v>
      </x:c>
      <x:c r="K367" s="112" t="str">
        <x:v>재게시</x:v>
      </x:c>
      <x:c r="L367" s="112" t="str">
        <x:v>높음</x:v>
      </x:c>
      <x:c r="M367" s="112" t="str">
        <x:v>제목의 펌/퍼옴 표시</x:v>
      </x:c>
      <x:c r="N367" s="116" t="str">
        <x:v>https://gall.dcinside.com/board/view/?id=cartoon_s&amp;no=238560&amp;exception_mode=recommend&amp;page=241</x:v>
      </x:c>
      <x:c r="O367" s="116" t="str">
        <x:v>https://m.blog.naver.com/sntu2010/221843812094</x:v>
      </x:c>
      <x:c r="P367" s="112" t="str">
        <x:v>아니오</x:v>
      </x:c>
      <x:c r="Q367" s="113" t="str">
        <x:v>자동 분류·표본 검토 대상</x:v>
      </x:c>
    </x:row>
    <x:row r="368">
      <x:c r="A368" s="100" t="n">
        <x:v>367</x:v>
      </x:c>
      <x:c r="B368" s="101" t="n">
        <x:v>43898</x:v>
      </x:c>
      <x:c r="C368" s="102" t="n">
        <x:v>2020</x:v>
      </x:c>
      <x:c r="D368" s="103" t="str">
        <x:v>ID-221843726123</x:v>
      </x:c>
      <x:c r="E368" s="112" t="str">
        <x:v>[펌]루미스 책에 재능에 대한 좋은 얘기가 있다</x:v>
      </x:c>
      <x:c r="F368" s="112" t="str">
        <x:v>웹툰작법</x:v>
      </x:c>
      <x:c r="G368" s="112" t="str">
        <x:v>웹툰 참고</x:v>
      </x:c>
      <x:c r="H368" s="112" t="str">
        <x:v>캐릭터·전개</x:v>
      </x:c>
      <x:c r="I368" s="112" t="n">
        <x:v>1</x:v>
      </x:c>
      <x:c r="J368" s="112" t="str">
        <x:v>관계</x:v>
      </x:c>
      <x:c r="K368" s="112" t="str">
        <x:v>재게시</x:v>
      </x:c>
      <x:c r="L368" s="112" t="str">
        <x:v>높음</x:v>
      </x:c>
      <x:c r="M368" s="112" t="str">
        <x:v>제목의 펌/퍼옴 표시</x:v>
      </x:c>
      <x:c r="N368" s="116" t="str">
        <x:v>https://gall.dcinside.com/board/view/?id=cartoon_s&amp;no=199667&amp;exception_mode=recommend&amp;page=302</x:v>
      </x:c>
      <x:c r="O368" s="116" t="str">
        <x:v>https://m.blog.naver.com/sntu2010/221843726123</x:v>
      </x:c>
      <x:c r="P368" s="112" t="str">
        <x:v>아니오</x:v>
      </x:c>
      <x:c r="Q368" s="113" t="str">
        <x:v>자동 분류·표본 검토 대상</x:v>
      </x:c>
    </x:row>
    <x:row r="369">
      <x:c r="A369" s="100" t="n">
        <x:v>368</x:v>
      </x:c>
      <x:c r="B369" s="101" t="n">
        <x:v>43898</x:v>
      </x:c>
      <x:c r="C369" s="102" t="n">
        <x:v>2020</x:v>
      </x:c>
      <x:c r="D369" s="103" t="str">
        <x:v>ID-221843701247</x:v>
      </x:c>
      <x:c r="E369" s="112" t="str">
        <x:v>[펌]그림입문자에게 가이드라인제공한다.</x:v>
      </x:c>
      <x:c r="F369" s="112" t="str">
        <x:v>웹툰작법</x:v>
      </x:c>
      <x:c r="G369" s="112" t="str">
        <x:v>웹툰 참고</x:v>
      </x:c>
      <x:c r="H369" s="112" t="str">
        <x:v>작법·상업성</x:v>
      </x:c>
      <x:c r="I369" s="112" t="n">
        <x:v>1</x:v>
      </x:c>
      <x:c r="J369" s="112" t="str">
        <x:v>작법</x:v>
      </x:c>
      <x:c r="K369" s="112" t="str">
        <x:v>재게시</x:v>
      </x:c>
      <x:c r="L369" s="112" t="str">
        <x:v>높음</x:v>
      </x:c>
      <x:c r="M369" s="112" t="str">
        <x:v>제목의 펌/퍼옴 표시</x:v>
      </x:c>
      <x:c r="N369" s="116" t="str">
        <x:v>https://gall.dcinside.com/board/view/?id=cartoon_s&amp;no=190550&amp;exception_mode=recommend&amp;page=318</x:v>
      </x:c>
      <x:c r="O369" s="116" t="str">
        <x:v>https://m.blog.naver.com/sntu2010/221843701247</x:v>
      </x:c>
      <x:c r="P369" s="112" t="str">
        <x:v>아니오</x:v>
      </x:c>
      <x:c r="Q369" s="113" t="str">
        <x:v>자동 분류·표본 검토 대상</x:v>
      </x:c>
    </x:row>
    <x:row r="370">
      <x:c r="A370" s="100" t="n">
        <x:v>369</x:v>
      </x:c>
      <x:c r="B370" s="101" t="n">
        <x:v>43898</x:v>
      </x:c>
      <x:c r="C370" s="102" t="n">
        <x:v>2020</x:v>
      </x:c>
      <x:c r="D370" s="103" t="str">
        <x:v>ID-221843697855</x:v>
      </x:c>
      <x:c r="E370" s="112" t="str">
        <x:v>[펌]역동적인 자세 그리기힘든놈들에게 꿀팁준다</x:v>
      </x:c>
      <x:c r="F370" s="112" t="str">
        <x:v>웹툰작법</x:v>
      </x:c>
      <x:c r="G370" s="112" t="str">
        <x:v>웹툰 참고</x:v>
      </x:c>
      <x:c r="H370" s="112" t="str">
        <x:v>작법·상업성</x:v>
      </x:c>
      <x:c r="I370" s="112" t="n">
        <x:v>1</x:v>
      </x:c>
      <x:c r="J370" s="112" t="str">
        <x:v>작법</x:v>
      </x:c>
      <x:c r="K370" s="112" t="str">
        <x:v>재게시</x:v>
      </x:c>
      <x:c r="L370" s="112" t="str">
        <x:v>높음</x:v>
      </x:c>
      <x:c r="M370" s="112" t="str">
        <x:v>제목의 펌/퍼옴 표시</x:v>
      </x:c>
      <x:c r="N370" s="116" t="str">
        <x:v>https://gall.dcinside.com/board/view/?id=cartoon_s&amp;no=190846&amp;exception_mode=recommend&amp;page=318</x:v>
      </x:c>
      <x:c r="O370" s="116" t="str">
        <x:v>https://m.blog.naver.com/sntu2010/221843697855</x:v>
      </x:c>
      <x:c r="P370" s="112" t="str">
        <x:v>아니오</x:v>
      </x:c>
      <x:c r="Q370" s="113" t="str">
        <x:v>자동 분류·표본 검토 대상</x:v>
      </x:c>
    </x:row>
    <x:row r="371">
      <x:c r="A371" s="100" t="n">
        <x:v>370</x:v>
      </x:c>
      <x:c r="B371" s="101" t="n">
        <x:v>43898</x:v>
      </x:c>
      <x:c r="C371" s="102" t="n">
        <x:v>2020</x:v>
      </x:c>
      <x:c r="D371" s="103" t="str">
        <x:v>ID-221843694269</x:v>
      </x:c>
      <x:c r="E371" s="112" t="str">
        <x:v>[펌]그림 잘그리고싶나요?</x:v>
      </x:c>
      <x:c r="F371" s="112" t="str">
        <x:v>웹툰작법</x:v>
      </x:c>
      <x:c r="G371" s="112" t="str">
        <x:v>웹툰 참고</x:v>
      </x:c>
      <x:c r="H371" s="112" t="str">
        <x:v>작법·상업성</x:v>
      </x:c>
      <x:c r="I371" s="112" t="n">
        <x:v>1</x:v>
      </x:c>
      <x:c r="J371" s="112" t="str">
        <x:v>작법</x:v>
      </x:c>
      <x:c r="K371" s="112" t="str">
        <x:v>재게시</x:v>
      </x:c>
      <x:c r="L371" s="112" t="str">
        <x:v>높음</x:v>
      </x:c>
      <x:c r="M371" s="112" t="str">
        <x:v>제목의 펌/퍼옴 표시</x:v>
      </x:c>
      <x:c r="N371" s="116" t="str">
        <x:v>https://gall.dcinside.com/board/view/?id=cartoon_s&amp;no=188385&amp;exception_mode=recommend&amp;page=320</x:v>
      </x:c>
      <x:c r="O371" s="116" t="str">
        <x:v>https://m.blog.naver.com/sntu2010/221843694269</x:v>
      </x:c>
      <x:c r="P371" s="112" t="str">
        <x:v>아니오</x:v>
      </x:c>
      <x:c r="Q371" s="113" t="str">
        <x:v>자동 분류·표본 검토 대상</x:v>
      </x:c>
    </x:row>
    <x:row r="372">
      <x:c r="A372" s="100" t="n">
        <x:v>371</x:v>
      </x:c>
      <x:c r="B372" s="101" t="n">
        <x:v>43898</x:v>
      </x:c>
      <x:c r="C372" s="102" t="n">
        <x:v>2020</x:v>
      </x:c>
      <x:c r="D372" s="103" t="str">
        <x:v>ID-221843289622</x:v>
      </x:c>
      <x:c r="E372" s="112" t="str">
        <x:v>[펌]군대가기전의 1년 9개월치 독학방송그림 정산과 잡소리 (스압)</x:v>
      </x:c>
      <x:c r="F372" s="112" t="str">
        <x:v>웹툰작법</x:v>
      </x:c>
      <x:c r="G372" s="112" t="str">
        <x:v>웹툰 참고</x:v>
      </x:c>
      <x:c r="H372" s="112" t="str">
        <x:v>수익·운영</x:v>
      </x:c>
      <x:c r="I372" s="112" t="n">
        <x:v>21</x:v>
      </x:c>
      <x:c r="J372" s="112" t="str">
        <x:v>정산</x:v>
      </x:c>
      <x:c r="K372" s="112" t="str">
        <x:v>재게시</x:v>
      </x:c>
      <x:c r="L372" s="112" t="str">
        <x:v>높음</x:v>
      </x:c>
      <x:c r="M372" s="112" t="str">
        <x:v>제목의 펌/퍼옴 표시</x:v>
      </x:c>
      <x:c r="N372" s="116" t="str">
        <x:v>https://gall.dcinside.com/mgallery/board/view/?id=drawing&amp;no=18033&amp;exception_mode=recommend&amp;search_pos=-22348&amp;s_type=search_subject_memo&amp;s_keyword=%EA%B5%B0%EB%8C%80&amp;page=1</x:v>
      </x:c>
      <x:c r="O372" s="116" t="str">
        <x:v>https://m.blog.naver.com/sntu2010/221843289622</x:v>
      </x:c>
      <x:c r="P372" s="112" t="str">
        <x:v>아니오</x:v>
      </x:c>
      <x:c r="Q372" s="113" t="str">
        <x:v>자동 분류·표본 검토 대상</x:v>
      </x:c>
    </x:row>
    <x:row r="373">
      <x:c r="A373" s="100" t="n">
        <x:v>372</x:v>
      </x:c>
      <x:c r="B373" s="101" t="n">
        <x:v>43897</x:v>
      </x:c>
      <x:c r="C373" s="102" t="n">
        <x:v>2020</x:v>
      </x:c>
      <x:c r="D373" s="103" t="str">
        <x:v>ID-221842917977</x:v>
      </x:c>
      <x:c r="E373" s="112" t="str">
        <x:v>[펌]가짜케장이 알려주는 그림 노하우</x:v>
      </x:c>
      <x:c r="F373" s="112" t="str">
        <x:v>웹툰작법</x:v>
      </x:c>
      <x:c r="G373" s="112" t="str">
        <x:v>웹툰 참고</x:v>
      </x:c>
      <x:c r="H373" s="112" t="str">
        <x:v>작법·상업성</x:v>
      </x:c>
      <x:c r="I373" s="112" t="n">
        <x:v>1</x:v>
      </x:c>
      <x:c r="J373" s="112" t="str">
        <x:v>작법</x:v>
      </x:c>
      <x:c r="K373" s="112" t="str">
        <x:v>재게시</x:v>
      </x:c>
      <x:c r="L373" s="112" t="str">
        <x:v>높음</x:v>
      </x:c>
      <x:c r="M373" s="112" t="str">
        <x:v>제목의 펌/퍼옴 표시</x:v>
      </x:c>
      <x:c r="N373" s="116" t="str">
        <x:v>https://gall.dcinside.com/mgallery/board/view/?id=drawing&amp;no=41455&amp;search_pos=-42320&amp;s_type=search_name&amp;s_keyword=%EA%B0%80%EC%A7%9C%EC%BC%80%EC%9E%A5&amp;page=1</x:v>
      </x:c>
      <x:c r="O373" s="116" t="str">
        <x:v>https://m.blog.naver.com/sntu2010/221842917977</x:v>
      </x:c>
      <x:c r="P373" s="112" t="str">
        <x:v>아니오</x:v>
      </x:c>
      <x:c r="Q373" s="113" t="str">
        <x:v>자동 분류·표본 검토 대상</x:v>
      </x:c>
    </x:row>
    <x:row r="374">
      <x:c r="A374" s="100" t="n">
        <x:v>373</x:v>
      </x:c>
      <x:c r="B374" s="101" t="n">
        <x:v>43897</x:v>
      </x:c>
      <x:c r="C374" s="102" t="n">
        <x:v>2020</x:v>
      </x:c>
      <x:c r="D374" s="103" t="str">
        <x:v>ID-221842903856</x:v>
      </x:c>
      <x:c r="E374" s="112" t="str">
        <x:v>[펌]인체공부 - 비율, 인체요약, 포즈창작</x:v>
      </x:c>
      <x:c r="F374" s="112" t="str">
        <x:v>웹툰작법</x:v>
      </x:c>
      <x:c r="G374" s="112" t="str">
        <x:v>웹툰 참고</x:v>
      </x:c>
      <x:c r="H374" s="112" t="str">
        <x:v>작법·상업성</x:v>
      </x:c>
      <x:c r="I374" s="112" t="n">
        <x:v>1</x:v>
      </x:c>
      <x:c r="J374" s="112" t="str">
        <x:v>작법</x:v>
      </x:c>
      <x:c r="K374" s="112" t="str">
        <x:v>재게시</x:v>
      </x:c>
      <x:c r="L374" s="112" t="str">
        <x:v>높음</x:v>
      </x:c>
      <x:c r="M374" s="112" t="str">
        <x:v>제목의 펌/퍼옴 표시</x:v>
      </x:c>
      <x:c r="N374" s="116" t="str">
        <x:v>https://gall.dcinside.com/mgallery/board/view/?id=drawing&amp;no=15935&amp;exception_mode=recommend&amp;search_head=110&amp;page=2)</x:v>
      </x:c>
      <x:c r="O374" s="116" t="str">
        <x:v>https://m.blog.naver.com/sntu2010/221842903856</x:v>
      </x:c>
      <x:c r="P374" s="112" t="str">
        <x:v>아니오</x:v>
      </x:c>
      <x:c r="Q374" s="113" t="str">
        <x:v>자동 분류·표본 검토 대상</x:v>
      </x:c>
    </x:row>
    <x:row r="375">
      <x:c r="A375" s="100" t="n">
        <x:v>374</x:v>
      </x:c>
      <x:c r="B375" s="101" t="n">
        <x:v>43897</x:v>
      </x:c>
      <x:c r="C375" s="102" t="n">
        <x:v>2020</x:v>
      </x:c>
      <x:c r="D375" s="103" t="str">
        <x:v>ID-221842896693</x:v>
      </x:c>
      <x:c r="E375" s="112" t="str">
        <x:v>[펌]빛에대한 이론 두번째글 야외광에 대해서</x:v>
      </x:c>
      <x:c r="F375" s="112" t="str">
        <x:v>웹툰작법</x:v>
      </x:c>
      <x:c r="G375" s="112" t="str">
        <x:v>웹툰 참고</x:v>
      </x:c>
      <x:c r="H375" s="112" t="str">
        <x:v>작법·상업성</x:v>
      </x:c>
      <x:c r="I375" s="112" t="n">
        <x:v>1</x:v>
      </x:c>
      <x:c r="J375" s="112" t="str">
        <x:v>작법</x:v>
      </x:c>
      <x:c r="K375" s="112" t="str">
        <x:v>재게시</x:v>
      </x:c>
      <x:c r="L375" s="112" t="str">
        <x:v>높음</x:v>
      </x:c>
      <x:c r="M375" s="112" t="str">
        <x:v>제목의 펌/퍼옴 표시</x:v>
      </x:c>
      <x:c r="N375" s="116" t="str">
        <x:v>https://gall.dcinside.com/mgallery/board/view/?id=drawing&amp;no=17175&amp;search_pos=-22313&amp;s_type=search_name&amp;s_keyword=%E3%84%B1%E3%84%B4%E3%85%87&amp;page=1</x:v>
      </x:c>
      <x:c r="O375" s="116" t="str">
        <x:v>https://m.blog.naver.com/sntu2010/221842896693</x:v>
      </x:c>
      <x:c r="P375" s="112" t="str">
        <x:v>아니오</x:v>
      </x:c>
      <x:c r="Q375" s="113" t="str">
        <x:v>자동 분류·표본 검토 대상</x:v>
      </x:c>
    </x:row>
    <x:row r="376">
      <x:c r="A376" s="100" t="n">
        <x:v>375</x:v>
      </x:c>
      <x:c r="B376" s="101" t="n">
        <x:v>43897</x:v>
      </x:c>
      <x:c r="C376" s="102" t="n">
        <x:v>2020</x:v>
      </x:c>
      <x:c r="D376" s="103" t="str">
        <x:v>ID-221842895557</x:v>
      </x:c>
      <x:c r="E376" s="112" t="str">
        <x:v>[펌]빛에대한 이론 첫번째글 빛의 성질과 원기둥 명암</x:v>
      </x:c>
      <x:c r="F376" s="112" t="str">
        <x:v>웹툰작법</x:v>
      </x:c>
      <x:c r="G376" s="112" t="str">
        <x:v>웹툰 참고</x:v>
      </x:c>
      <x:c r="H376" s="112" t="str">
        <x:v>작법·상업성</x:v>
      </x:c>
      <x:c r="I376" s="112" t="n">
        <x:v>1</x:v>
      </x:c>
      <x:c r="J376" s="112" t="str">
        <x:v>작법</x:v>
      </x:c>
      <x:c r="K376" s="112" t="str">
        <x:v>재게시</x:v>
      </x:c>
      <x:c r="L376" s="112" t="str">
        <x:v>높음</x:v>
      </x:c>
      <x:c r="M376" s="112" t="str">
        <x:v>제목의 펌/퍼옴 표시</x:v>
      </x:c>
      <x:c r="N376" s="116" t="str">
        <x:v>https://gall.dcinside.com/mgallery/board/view/?id=drawing&amp;no=17174&amp;search_pos=-22313&amp;s_type=search_name&amp;s_keyword=%E3%84%B1%E3%84%B4%E3%85%87&amp;page=1</x:v>
      </x:c>
      <x:c r="O376" s="116" t="str">
        <x:v>https://m.blog.naver.com/sntu2010/221842895557</x:v>
      </x:c>
      <x:c r="P376" s="112" t="str">
        <x:v>아니오</x:v>
      </x:c>
      <x:c r="Q376" s="113" t="str">
        <x:v>자동 분류·표본 검토 대상</x:v>
      </x:c>
    </x:row>
    <x:row r="377">
      <x:c r="A377" s="100" t="n">
        <x:v>376</x:v>
      </x:c>
      <x:c r="B377" s="101" t="n">
        <x:v>43897</x:v>
      </x:c>
      <x:c r="C377" s="102" t="n">
        <x:v>2020</x:v>
      </x:c>
      <x:c r="D377" s="103" t="str">
        <x:v>ID-221842893074</x:v>
      </x:c>
      <x:c r="E377" s="112" t="str">
        <x:v>[펌]간단한 그림 가이드 01 - 크로키를 해보자</x:v>
      </x:c>
      <x:c r="F377" s="112" t="str">
        <x:v>웹툰작법</x:v>
      </x:c>
      <x:c r="G377" s="112" t="str">
        <x:v>웹툰 참고</x:v>
      </x:c>
      <x:c r="H377" s="112" t="str">
        <x:v>작법·상업성</x:v>
      </x:c>
      <x:c r="I377" s="112" t="n">
        <x:v>1</x:v>
      </x:c>
      <x:c r="J377" s="112" t="str">
        <x:v>작법</x:v>
      </x:c>
      <x:c r="K377" s="112" t="str">
        <x:v>재게시</x:v>
      </x:c>
      <x:c r="L377" s="112" t="str">
        <x:v>높음</x:v>
      </x:c>
      <x:c r="M377" s="112" t="str">
        <x:v>제목의 펌/퍼옴 표시</x:v>
      </x:c>
      <x:c r="N377" s="116" t="str">
        <x:v>https://gall.dcinside.com/mgallery/board/view/?id=drawing&amp;no=23914&amp;exception_mode=recommend&amp;page=27</x:v>
      </x:c>
      <x:c r="O377" s="116" t="str">
        <x:v>https://m.blog.naver.com/sntu2010/221842893074</x:v>
      </x:c>
      <x:c r="P377" s="112" t="str">
        <x:v>아니오</x:v>
      </x:c>
      <x:c r="Q377" s="113" t="str">
        <x:v>자동 분류·표본 검토 대상</x:v>
      </x:c>
    </x:row>
    <x:row r="378">
      <x:c r="A378" s="100" t="n">
        <x:v>377</x:v>
      </x:c>
      <x:c r="B378" s="101" t="n">
        <x:v>43897</x:v>
      </x:c>
      <x:c r="C378" s="102" t="n">
        <x:v>2020</x:v>
      </x:c>
      <x:c r="D378" s="103" t="str">
        <x:v>ID-221842888303</x:v>
      </x:c>
      <x:c r="E378" s="112" t="str">
        <x:v>[펌]그림그릴때 면을 찾는 순서를 알아보자</x:v>
      </x:c>
      <x:c r="F378" s="112" t="str">
        <x:v>웹툰작법</x:v>
      </x:c>
      <x:c r="G378" s="112" t="str">
        <x:v>웹툰 참고</x:v>
      </x:c>
      <x:c r="H378" s="112" t="str">
        <x:v>작법·상업성</x:v>
      </x:c>
      <x:c r="I378" s="112" t="n">
        <x:v>1</x:v>
      </x:c>
      <x:c r="J378" s="112" t="str">
        <x:v>작법</x:v>
      </x:c>
      <x:c r="K378" s="112" t="str">
        <x:v>재게시</x:v>
      </x:c>
      <x:c r="L378" s="112" t="str">
        <x:v>높음</x:v>
      </x:c>
      <x:c r="M378" s="112" t="str">
        <x:v>제목의 펌/퍼옴 표시</x:v>
      </x:c>
      <x:c r="N378" s="116" t="str">
        <x:v>https://gall.dcinside.com/mgallery/board/view/?id=drawing&amp;no=43838</x:v>
      </x:c>
      <x:c r="O378" s="116" t="str">
        <x:v>https://m.blog.naver.com/sntu2010/221842888303</x:v>
      </x:c>
      <x:c r="P378" s="112" t="str">
        <x:v>아니오</x:v>
      </x:c>
      <x:c r="Q378" s="113" t="str">
        <x:v>자동 분류·표본 검토 대상</x:v>
      </x:c>
    </x:row>
    <x:row r="379">
      <x:c r="A379" s="100" t="n">
        <x:v>378</x:v>
      </x:c>
      <x:c r="B379" s="101" t="n">
        <x:v>43897</x:v>
      </x:c>
      <x:c r="C379" s="102" t="n">
        <x:v>2020</x:v>
      </x:c>
      <x:c r="D379" s="103" t="str">
        <x:v>ID-221842879111</x:v>
      </x:c>
      <x:c r="E379" s="112" t="str">
        <x:v>[펌]뉴비를 위해 면을 보는 방법을 설명해본다</x:v>
      </x:c>
      <x:c r="F379" s="112" t="str">
        <x:v>웹툰작법</x:v>
      </x:c>
      <x:c r="G379" s="112" t="str">
        <x:v>웹툰 참고</x:v>
      </x:c>
      <x:c r="H379" s="112" t="str">
        <x:v>캐릭터·전개</x:v>
      </x:c>
      <x:c r="I379" s="112" t="n">
        <x:v>1</x:v>
      </x:c>
      <x:c r="J379" s="112" t="str">
        <x:v>인물</x:v>
      </x:c>
      <x:c r="K379" s="112" t="str">
        <x:v>재게시</x:v>
      </x:c>
      <x:c r="L379" s="112" t="str">
        <x:v>높음</x:v>
      </x:c>
      <x:c r="M379" s="112" t="str">
        <x:v>제목의 펌/퍼옴 표시</x:v>
      </x:c>
      <x:c r="N379" s="116" t="str">
        <x:v>https://gall.dcinside.com/mgallery/board/view/?id=drawing&amp;no=43693&amp;exception_mode=recommend&amp;page=1</x:v>
      </x:c>
      <x:c r="O379" s="116" t="str">
        <x:v>https://m.blog.naver.com/sntu2010/221842879111</x:v>
      </x:c>
      <x:c r="P379" s="112" t="str">
        <x:v>아니오</x:v>
      </x:c>
      <x:c r="Q379" s="113" t="str">
        <x:v>자동 분류·표본 검토 대상</x:v>
      </x:c>
    </x:row>
    <x:row r="380">
      <x:c r="A380" s="100" t="n">
        <x:v>379</x:v>
      </x:c>
      <x:c r="B380" s="101" t="n">
        <x:v>43897</x:v>
      </x:c>
      <x:c r="C380" s="102" t="n">
        <x:v>2020</x:v>
      </x:c>
      <x:c r="D380" s="103" t="str">
        <x:v>ID-221842877130</x:v>
      </x:c>
      <x:c r="E380" s="112" t="str">
        <x:v>[펌]중간톤(midtones)이란 무엇인가</x:v>
      </x:c>
      <x:c r="F380" s="112" t="str">
        <x:v>웹툰작법</x:v>
      </x:c>
      <x:c r="G380" s="112" t="str">
        <x:v>웹툰 참고</x:v>
      </x:c>
      <x:c r="H380" s="112" t="str">
        <x:v>작법·상업성</x:v>
      </x:c>
      <x:c r="I380" s="112" t="n">
        <x:v>1</x:v>
      </x:c>
      <x:c r="J380" s="112" t="str">
        <x:v>작법</x:v>
      </x:c>
      <x:c r="K380" s="112" t="str">
        <x:v>재게시</x:v>
      </x:c>
      <x:c r="L380" s="112" t="str">
        <x:v>높음</x:v>
      </x:c>
      <x:c r="M380" s="112" t="str">
        <x:v>제목의 펌/퍼옴 표시</x:v>
      </x:c>
      <x:c r="N380" s="116" t="str">
        <x:v>https://gall.dcinside.com/mgallery/board/view/?id=drawing&amp;no=43672&amp;exception_mode=recommend&amp;page=1</x:v>
      </x:c>
      <x:c r="O380" s="116" t="str">
        <x:v>https://m.blog.naver.com/sntu2010/221842877130</x:v>
      </x:c>
      <x:c r="P380" s="112" t="str">
        <x:v>아니오</x:v>
      </x:c>
      <x:c r="Q380" s="113" t="str">
        <x:v>자동 분류·표본 검토 대상</x:v>
      </x:c>
    </x:row>
    <x:row r="381">
      <x:c r="A381" s="100" t="n">
        <x:v>380</x:v>
      </x:c>
      <x:c r="B381" s="101" t="n">
        <x:v>43897</x:v>
      </x:c>
      <x:c r="C381" s="102" t="n">
        <x:v>2020</x:v>
      </x:c>
      <x:c r="D381" s="103" t="str">
        <x:v>ID-221842875942</x:v>
      </x:c>
      <x:c r="E381" s="112" t="str">
        <x:v>[펌]컨트롤 z를 적게 쓰는게 무슨 영향이 있는가에 대해</x:v>
      </x:c>
      <x:c r="F381" s="112" t="str">
        <x:v>웹툰작법</x:v>
      </x:c>
      <x:c r="G381" s="112" t="str">
        <x:v>웹툰 참고</x:v>
      </x:c>
      <x:c r="H381" s="112" t="str">
        <x:v>작법·상업성</x:v>
      </x:c>
      <x:c r="I381" s="112" t="n">
        <x:v>1</x:v>
      </x:c>
      <x:c r="J381" s="112" t="str">
        <x:v>작법</x:v>
      </x:c>
      <x:c r="K381" s="112" t="str">
        <x:v>재게시</x:v>
      </x:c>
      <x:c r="L381" s="112" t="str">
        <x:v>높음</x:v>
      </x:c>
      <x:c r="M381" s="112" t="str">
        <x:v>제목의 펌/퍼옴 표시</x:v>
      </x:c>
      <x:c r="N381" s="116" t="str">
        <x:v>https://gall.dcinside.com/mgallery/board/view/?id=drawing&amp;no=43577&amp;exception_mode=recommend&amp;page=1</x:v>
      </x:c>
      <x:c r="O381" s="116" t="str">
        <x:v>https://m.blog.naver.com/sntu2010/221842875942</x:v>
      </x:c>
      <x:c r="P381" s="112" t="str">
        <x:v>아니오</x:v>
      </x:c>
      <x:c r="Q381" s="113" t="str">
        <x:v>자동 분류·표본 검토 대상</x:v>
      </x:c>
    </x:row>
    <x:row r="382">
      <x:c r="A382" s="100" t="n">
        <x:v>381</x:v>
      </x:c>
      <x:c r="B382" s="101" t="n">
        <x:v>43897</x:v>
      </x:c>
      <x:c r="C382" s="102" t="n">
        <x:v>2020</x:v>
      </x:c>
      <x:c r="D382" s="103" t="str">
        <x:v>ID-221842874285</x:v>
      </x:c>
      <x:c r="E382" s="112" t="str">
        <x:v>[펌]자기 그림에 만족할 줄 알아야한다</x:v>
      </x:c>
      <x:c r="F382" s="112" t="str">
        <x:v>웹툰작법</x:v>
      </x:c>
      <x:c r="G382" s="112" t="str">
        <x:v>웹툰 참고</x:v>
      </x:c>
      <x:c r="H382" s="112" t="str">
        <x:v>작법·상업성</x:v>
      </x:c>
      <x:c r="I382" s="112" t="n">
        <x:v>2</x:v>
      </x:c>
      <x:c r="J382" s="112" t="str">
        <x:v>재미, 작법</x:v>
      </x:c>
      <x:c r="K382" s="112" t="str">
        <x:v>재게시</x:v>
      </x:c>
      <x:c r="L382" s="112" t="str">
        <x:v>높음</x:v>
      </x:c>
      <x:c r="M382" s="112" t="str">
        <x:v>제목의 펌/퍼옴 표시</x:v>
      </x:c>
      <x:c r="N382" s="116" t="str">
        <x:v>https://gall.dcinside.com/mgallery/board/view/?id=drawing&amp;no=43291&amp;exception_mode=recommend&amp;page=1</x:v>
      </x:c>
      <x:c r="O382" s="116" t="str">
        <x:v>https://m.blog.naver.com/sntu2010/221842874285</x:v>
      </x:c>
      <x:c r="P382" s="112" t="str">
        <x:v>아니오</x:v>
      </x:c>
      <x:c r="Q382" s="113" t="str">
        <x:v>자동 분류·표본 검토 대상</x:v>
      </x:c>
    </x:row>
    <x:row r="383">
      <x:c r="A383" s="100" t="n">
        <x:v>382</x:v>
      </x:c>
      <x:c r="B383" s="101" t="n">
        <x:v>43897</x:v>
      </x:c>
      <x:c r="C383" s="102" t="n">
        <x:v>2020</x:v>
      </x:c>
      <x:c r="D383" s="103" t="str">
        <x:v>ID-221842871212</x:v>
      </x:c>
      <x:c r="E383" s="112" t="str">
        <x:v>[펌]웹툰작가, 일러레 수업 · 강연 후기</x:v>
      </x:c>
      <x:c r="F383" s="112" t="str">
        <x:v>웹툰작법</x:v>
      </x:c>
      <x:c r="G383" s="112" t="str">
        <x:v>웹툰 참고</x:v>
      </x:c>
      <x:c r="H383" s="112" t="str">
        <x:v>초반부/연독률</x:v>
      </x:c>
      <x:c r="I383" s="112" t="n">
        <x:v>2</x:v>
      </x:c>
      <x:c r="J383" s="112" t="str">
        <x:v>초반</x:v>
      </x:c>
      <x:c r="K383" s="112" t="str">
        <x:v>재게시</x:v>
      </x:c>
      <x:c r="L383" s="112" t="str">
        <x:v>높음</x:v>
      </x:c>
      <x:c r="M383" s="112" t="str">
        <x:v>제목의 펌/퍼옴 표시</x:v>
      </x:c>
      <x:c r="N383" s="116" t="str">
        <x:v>https://gall.dcinside.com/mgallery/board/view/?id=drawing&amp;no=42019&amp;exception_mode=recommend&amp;page=3</x:v>
      </x:c>
      <x:c r="O383" s="116" t="str">
        <x:v>https://m.blog.naver.com/sntu2010/221842871212</x:v>
      </x:c>
      <x:c r="P383" s="112" t="str">
        <x:v>아니오</x:v>
      </x:c>
      <x:c r="Q383" s="113" t="str">
        <x:v>자동 분류·표본 검토 대상</x:v>
      </x:c>
    </x:row>
    <x:row r="384">
      <x:c r="A384" s="100" t="n">
        <x:v>383</x:v>
      </x:c>
      <x:c r="B384" s="101" t="n">
        <x:v>43897</x:v>
      </x:c>
      <x:c r="C384" s="102" t="n">
        <x:v>2020</x:v>
      </x:c>
      <x:c r="D384" s="103" t="str">
        <x:v>ID-221842860532</x:v>
      </x:c>
      <x:c r="E384" s="112" t="str">
        <x:v>[펌]어제 들은 초보자들을 위한 조언</x:v>
      </x:c>
      <x:c r="F384" s="112" t="str">
        <x:v>웹툰작법</x:v>
      </x:c>
      <x:c r="G384" s="112" t="str">
        <x:v>웹툰 참고</x:v>
      </x:c>
      <x:c r="H384" s="112" t="str">
        <x:v>작법·상업성</x:v>
      </x:c>
      <x:c r="I384" s="112" t="n">
        <x:v>1</x:v>
      </x:c>
      <x:c r="J384" s="112" t="str">
        <x:v>작법</x:v>
      </x:c>
      <x:c r="K384" s="112" t="str">
        <x:v>재게시</x:v>
      </x:c>
      <x:c r="L384" s="112" t="str">
        <x:v>높음</x:v>
      </x:c>
      <x:c r="M384" s="112" t="str">
        <x:v>제목의 펌/퍼옴 표시</x:v>
      </x:c>
      <x:c r="N384" s="116" t="str">
        <x:v>https://gall.dcinside.com/mgallery/board/view/?id=drawing&amp;no=36853&amp;exception_mode=recommend&amp;page=10</x:v>
      </x:c>
      <x:c r="O384" s="116" t="str">
        <x:v>https://m.blog.naver.com/sntu2010/221842860532</x:v>
      </x:c>
      <x:c r="P384" s="112" t="str">
        <x:v>아니오</x:v>
      </x:c>
      <x:c r="Q384" s="113" t="str">
        <x:v>자동 분류·표본 검토 대상</x:v>
      </x:c>
    </x:row>
    <x:row r="385">
      <x:c r="A385" s="100" t="n">
        <x:v>384</x:v>
      </x:c>
      <x:c r="B385" s="101" t="n">
        <x:v>43897</x:v>
      </x:c>
      <x:c r="C385" s="102" t="n">
        <x:v>2020</x:v>
      </x:c>
      <x:c r="D385" s="103" t="str">
        <x:v>ID-221842858860</x:v>
      </x:c>
      <x:c r="E385" s="112" t="str">
        <x:v>[펌]소설 쓰는 이들을 위한 자그마한 팁</x:v>
      </x:c>
      <x:c r="F385" s="112" t="str">
        <x:v>웹소작법</x:v>
      </x:c>
      <x:c r="G385" s="112" t="str">
        <x:v>웹소설 직접</x:v>
      </x:c>
      <x:c r="H385" s="112" t="str">
        <x:v>캐릭터·전개</x:v>
      </x:c>
      <x:c r="I385" s="112" t="n">
        <x:v>8</x:v>
      </x:c>
      <x:c r="J385" s="112" t="str">
        <x:v>사건</x:v>
      </x:c>
      <x:c r="K385" s="112" t="str">
        <x:v>재게시</x:v>
      </x:c>
      <x:c r="L385" s="112" t="str">
        <x:v>높음</x:v>
      </x:c>
      <x:c r="M385" s="112" t="str">
        <x:v>제목의 펌/퍼옴 표시</x:v>
      </x:c>
      <x:c r="N385" s="116" t="str">
        <x:v>https://gall.dcinside.com/mgallery/board/view/?id=tgijjdd&amp;no=278826&amp;page=1</x:v>
      </x:c>
      <x:c r="O385" s="116" t="str">
        <x:v>https://m.blog.naver.com/sntu2010/221842858860</x:v>
      </x:c>
      <x:c r="P385" s="112" t="str">
        <x:v>예</x:v>
      </x:c>
      <x:c r="Q385" s="113" t="str">
        <x:v>자동 분류·표본 검토 대상</x:v>
      </x:c>
    </x:row>
    <x:row r="386">
      <x:c r="A386" s="100" t="n">
        <x:v>385</x:v>
      </x:c>
      <x:c r="B386" s="101" t="n">
        <x:v>43897</x:v>
      </x:c>
      <x:c r="C386" s="102" t="n">
        <x:v>2020</x:v>
      </x:c>
      <x:c r="D386" s="103" t="str">
        <x:v>ID-221842858195</x:v>
      </x:c>
      <x:c r="E386" s="112" t="str">
        <x:v>[펌]그림 덩어리 잡기어려운분들께</x:v>
      </x:c>
      <x:c r="F386" s="112" t="str">
        <x:v>웹툰작법</x:v>
      </x:c>
      <x:c r="G386" s="112" t="str">
        <x:v>웹툰 참고</x:v>
      </x:c>
      <x:c r="H386" s="112" t="str">
        <x:v>작법·상업성</x:v>
      </x:c>
      <x:c r="I386" s="112" t="n">
        <x:v>1</x:v>
      </x:c>
      <x:c r="J386" s="112" t="str">
        <x:v>작법</x:v>
      </x:c>
      <x:c r="K386" s="112" t="str">
        <x:v>재게시</x:v>
      </x:c>
      <x:c r="L386" s="112" t="str">
        <x:v>높음</x:v>
      </x:c>
      <x:c r="M386" s="112" t="str">
        <x:v>제목의 펌/퍼옴 표시</x:v>
      </x:c>
      <x:c r="N386" s="116" t="str">
        <x:v>https://gall.dcinside.com/mgallery/board/view/?id=drawing&amp;no=36538&amp;exception_mode=recommend&amp;page=11</x:v>
      </x:c>
      <x:c r="O386" s="116" t="str">
        <x:v>https://m.blog.naver.com/sntu2010/221842858195</x:v>
      </x:c>
      <x:c r="P386" s="112" t="str">
        <x:v>아니오</x:v>
      </x:c>
      <x:c r="Q386" s="113" t="str">
        <x:v>자동 분류·표본 검토 대상</x:v>
      </x:c>
    </x:row>
    <x:row r="387">
      <x:c r="A387" s="100" t="n">
        <x:v>386</x:v>
      </x:c>
      <x:c r="B387" s="101" t="n">
        <x:v>43897</x:v>
      </x:c>
      <x:c r="C387" s="102" t="n">
        <x:v>2020</x:v>
      </x:c>
      <x:c r="D387" s="103" t="str">
        <x:v>ID-221842846120</x:v>
      </x:c>
      <x:c r="E387" s="112" t="str">
        <x:v>[펌]채색이 어려운 뉴비들을 위한 채색단계 설명</x:v>
      </x:c>
      <x:c r="F387" s="112" t="str">
        <x:v>웹툰작법</x:v>
      </x:c>
      <x:c r="G387" s="112" t="str">
        <x:v>웹툰 참고</x:v>
      </x:c>
      <x:c r="H387" s="112" t="str">
        <x:v>작법·상업성</x:v>
      </x:c>
      <x:c r="I387" s="112" t="n">
        <x:v>6</x:v>
      </x:c>
      <x:c r="J387" s="112" t="str">
        <x:v>작법, 묘사</x:v>
      </x:c>
      <x:c r="K387" s="112" t="str">
        <x:v>재게시</x:v>
      </x:c>
      <x:c r="L387" s="112" t="str">
        <x:v>높음</x:v>
      </x:c>
      <x:c r="M387" s="112" t="str">
        <x:v>제목의 펌/퍼옴 표시</x:v>
      </x:c>
      <x:c r="N387" s="116" t="str">
        <x:v>https://gall.dcinside.com/mgallery/board/view/?id=drawing&amp;no=27295&amp;exception_mode=recommend&amp;page=22</x:v>
      </x:c>
      <x:c r="O387" s="116" t="str">
        <x:v>https://m.blog.naver.com/sntu2010/221842846120</x:v>
      </x:c>
      <x:c r="P387" s="112" t="str">
        <x:v>아니오</x:v>
      </x:c>
      <x:c r="Q387" s="113" t="str">
        <x:v>자동 분류·표본 검토 대상</x:v>
      </x:c>
    </x:row>
    <x:row r="388">
      <x:c r="A388" s="100" t="n">
        <x:v>387</x:v>
      </x:c>
      <x:c r="B388" s="101" t="n">
        <x:v>43897</x:v>
      </x:c>
      <x:c r="C388" s="102" t="n">
        <x:v>2020</x:v>
      </x:c>
      <x:c r="D388" s="103" t="str">
        <x:v>ID-221842843215</x:v>
      </x:c>
      <x:c r="E388" s="112" t="str">
        <x:v>[펌]빛을 덩어리로 묶어서 입체감을 생성해보자</x:v>
      </x:c>
      <x:c r="F388" s="112" t="str">
        <x:v>웹툰작법</x:v>
      </x:c>
      <x:c r="G388" s="112" t="str">
        <x:v>웹툰 참고</x:v>
      </x:c>
      <x:c r="H388" s="112" t="str">
        <x:v>작법·상업성</x:v>
      </x:c>
      <x:c r="I388" s="112" t="n">
        <x:v>1</x:v>
      </x:c>
      <x:c r="J388" s="112" t="str">
        <x:v>작법</x:v>
      </x:c>
      <x:c r="K388" s="112" t="str">
        <x:v>재게시</x:v>
      </x:c>
      <x:c r="L388" s="112" t="str">
        <x:v>높음</x:v>
      </x:c>
      <x:c r="M388" s="112" t="str">
        <x:v>제목의 펌/퍼옴 표시</x:v>
      </x:c>
      <x:c r="N388" s="116" t="str">
        <x:v>https://gall.dcinside.com/mgallery/board/view/?id=drawing&amp;no=25130&amp;exception_mode=recommend&amp;page=25</x:v>
      </x:c>
      <x:c r="O388" s="116" t="str">
        <x:v>https://m.blog.naver.com/sntu2010/221842843215</x:v>
      </x:c>
      <x:c r="P388" s="112" t="str">
        <x:v>아니오</x:v>
      </x:c>
      <x:c r="Q388" s="113" t="str">
        <x:v>자동 분류·표본 검토 대상</x:v>
      </x:c>
    </x:row>
    <x:row r="389">
      <x:c r="A389" s="100" t="n">
        <x:v>388</x:v>
      </x:c>
      <x:c r="B389" s="101" t="n">
        <x:v>43897</x:v>
      </x:c>
      <x:c r="C389" s="102" t="n">
        <x:v>2020</x:v>
      </x:c>
      <x:c r="D389" s="103" t="str">
        <x:v>ID-221842840238</x:v>
      </x:c>
      <x:c r="E389" s="112" t="str">
        <x:v>[펌]창작이 어렵다면 이글이 도움 되시길...</x:v>
      </x:c>
      <x:c r="F389" s="112" t="str">
        <x:v>웹툰작법</x:v>
      </x:c>
      <x:c r="G389" s="112" t="str">
        <x:v>웹툰 참고</x:v>
      </x:c>
      <x:c r="H389" s="112" t="str">
        <x:v>작법·상업성</x:v>
      </x:c>
      <x:c r="I389" s="112" t="n">
        <x:v>7</x:v>
      </x:c>
      <x:c r="J389" s="112" t="str">
        <x:v>작법, 장르, 소재</x:v>
      </x:c>
      <x:c r="K389" s="112" t="str">
        <x:v>재게시</x:v>
      </x:c>
      <x:c r="L389" s="112" t="str">
        <x:v>높음</x:v>
      </x:c>
      <x:c r="M389" s="112" t="str">
        <x:v>제목의 펌/퍼옴 표시</x:v>
      </x:c>
      <x:c r="N389" s="116" t="str">
        <x:v>https://gall.dcinside.com/mgallery/board/view/?id=drawing&amp;no=23651&amp;exception_mode=recommend&amp;page=27</x:v>
      </x:c>
      <x:c r="O389" s="116" t="str">
        <x:v>https://m.blog.naver.com/sntu2010/221842840238</x:v>
      </x:c>
      <x:c r="P389" s="112" t="str">
        <x:v>아니오</x:v>
      </x:c>
      <x:c r="Q389" s="113" t="str">
        <x:v>자동 분류·표본 검토 대상</x:v>
      </x:c>
    </x:row>
    <x:row r="390">
      <x:c r="A390" s="100" t="n">
        <x:v>389</x:v>
      </x:c>
      <x:c r="B390" s="101" t="n">
        <x:v>43897</x:v>
      </x:c>
      <x:c r="C390" s="102" t="n">
        <x:v>2020</x:v>
      </x:c>
      <x:c r="D390" s="103" t="str">
        <x:v>ID-221842837601</x:v>
      </x:c>
      <x:c r="E390" s="112" t="str">
        <x:v>[펌]습득과 경험에 대한 생각, 그리고 크로키</x:v>
      </x:c>
      <x:c r="F390" s="112" t="str">
        <x:v>웹툰작법</x:v>
      </x:c>
      <x:c r="G390" s="112" t="str">
        <x:v>웹툰 참고</x:v>
      </x:c>
      <x:c r="H390" s="112" t="str">
        <x:v>작법·상업성</x:v>
      </x:c>
      <x:c r="I390" s="112" t="n">
        <x:v>1</x:v>
      </x:c>
      <x:c r="J390" s="112" t="str">
        <x:v>작법</x:v>
      </x:c>
      <x:c r="K390" s="112" t="str">
        <x:v>재게시</x:v>
      </x:c>
      <x:c r="L390" s="112" t="str">
        <x:v>높음</x:v>
      </x:c>
      <x:c r="M390" s="112" t="str">
        <x:v>제목의 펌/퍼옴 표시</x:v>
      </x:c>
      <x:c r="N390" s="116" t="str">
        <x:v>https://gall.dcinside.com/mgallery/board/view/?id=drawing&amp;no=21844&amp;exception_mode=recommend&amp;page=28</x:v>
      </x:c>
      <x:c r="O390" s="116" t="str">
        <x:v>https://m.blog.naver.com/sntu2010/221842837601</x:v>
      </x:c>
      <x:c r="P390" s="112" t="str">
        <x:v>아니오</x:v>
      </x:c>
      <x:c r="Q390" s="113" t="str">
        <x:v>자동 분류·표본 검토 대상</x:v>
      </x:c>
    </x:row>
    <x:row r="391">
      <x:c r="A391" s="100" t="n">
        <x:v>390</x:v>
      </x:c>
      <x:c r="B391" s="101" t="n">
        <x:v>43897</x:v>
      </x:c>
      <x:c r="C391" s="102" t="n">
        <x:v>2020</x:v>
      </x:c>
      <x:c r="D391" s="103" t="str">
        <x:v>ID-221842834694</x:v>
      </x:c>
      <x:c r="E391" s="112" t="str">
        <x:v>[펌]크로키를 왜하는가에 대한 생각</x:v>
      </x:c>
      <x:c r="F391" s="112" t="str">
        <x:v>웹툰작법</x:v>
      </x:c>
      <x:c r="G391" s="112" t="str">
        <x:v>웹툰 참고</x:v>
      </x:c>
      <x:c r="H391" s="112" t="str">
        <x:v>수익·운영</x:v>
      </x:c>
      <x:c r="I391" s="112" t="n">
        <x:v>2</x:v>
      </x:c>
      <x:c r="J391" s="112" t="str">
        <x:v>수입</x:v>
      </x:c>
      <x:c r="K391" s="112" t="str">
        <x:v>재게시</x:v>
      </x:c>
      <x:c r="L391" s="112" t="str">
        <x:v>높음</x:v>
      </x:c>
      <x:c r="M391" s="112" t="str">
        <x:v>제목의 펌/퍼옴 표시</x:v>
      </x:c>
      <x:c r="N391" s="116" t="str">
        <x:v>https://gall.dcinside.com/mgallery/board/view/?id=drawing&amp;no=21639&amp;exception_mode=recommend&amp;page=29</x:v>
      </x:c>
      <x:c r="O391" s="116" t="str">
        <x:v>https://m.blog.naver.com/sntu2010/221842834694</x:v>
      </x:c>
      <x:c r="P391" s="112" t="str">
        <x:v>아니오</x:v>
      </x:c>
      <x:c r="Q391" s="113" t="str">
        <x:v>자동 분류·표본 검토 대상</x:v>
      </x:c>
    </x:row>
    <x:row r="392">
      <x:c r="A392" s="100" t="n">
        <x:v>391</x:v>
      </x:c>
      <x:c r="B392" s="101" t="n">
        <x:v>43897</x:v>
      </x:c>
      <x:c r="C392" s="102" t="n">
        <x:v>2020</x:v>
      </x:c>
      <x:c r="D392" s="103" t="str">
        <x:v>ID-221842826635</x:v>
      </x:c>
      <x:c r="E392" s="112" t="str">
        <x:v>[펌]그림 6년그린 사람이 초보들에게 잡다하게 하고싶운 말</x:v>
      </x:c>
      <x:c r="F392" s="112" t="str">
        <x:v>웹툰작법</x:v>
      </x:c>
      <x:c r="G392" s="112" t="str">
        <x:v>웹툰 참고</x:v>
      </x:c>
      <x:c r="H392" s="112" t="str">
        <x:v>작법·상업성</x:v>
      </x:c>
      <x:c r="I392" s="112" t="n">
        <x:v>1</x:v>
      </x:c>
      <x:c r="J392" s="112" t="str">
        <x:v>작법</x:v>
      </x:c>
      <x:c r="K392" s="112" t="str">
        <x:v>재게시</x:v>
      </x:c>
      <x:c r="L392" s="112" t="str">
        <x:v>높음</x:v>
      </x:c>
      <x:c r="M392" s="112" t="str">
        <x:v>제목의 펌/퍼옴 표시</x:v>
      </x:c>
      <x:c r="N392" s="116" t="str">
        <x:v>https://gall.dcinside.com/mgallery/board/view/?id=drawing&amp;no=17158&amp;exception_mode=recommend&amp;page=33</x:v>
      </x:c>
      <x:c r="O392" s="116" t="str">
        <x:v>https://m.blog.naver.com/sntu2010/221842826635</x:v>
      </x:c>
      <x:c r="P392" s="112" t="str">
        <x:v>아니오</x:v>
      </x:c>
      <x:c r="Q392" s="113" t="str">
        <x:v>자동 분류·표본 검토 대상</x:v>
      </x:c>
    </x:row>
    <x:row r="393">
      <x:c r="A393" s="100" t="n">
        <x:v>392</x:v>
      </x:c>
      <x:c r="B393" s="101" t="n">
        <x:v>43897</x:v>
      </x:c>
      <x:c r="C393" s="102" t="n">
        <x:v>2020</x:v>
      </x:c>
      <x:c r="D393" s="103" t="str">
        <x:v>ID-221842824291</x:v>
      </x:c>
      <x:c r="E393" s="112" t="str">
        <x:v>[펌]그림 잘그리는법 ~하세요 라고 답변해주는 이유</x:v>
      </x:c>
      <x:c r="F393" s="112" t="str">
        <x:v>웹툰작법</x:v>
      </x:c>
      <x:c r="G393" s="112" t="str">
        <x:v>웹툰 참고</x:v>
      </x:c>
      <x:c r="H393" s="112" t="str">
        <x:v>작법·상업성</x:v>
      </x:c>
      <x:c r="I393" s="112" t="n">
        <x:v>3</x:v>
      </x:c>
      <x:c r="J393" s="112" t="str">
        <x:v>트렌드, 작법</x:v>
      </x:c>
      <x:c r="K393" s="112" t="str">
        <x:v>재게시</x:v>
      </x:c>
      <x:c r="L393" s="112" t="str">
        <x:v>높음</x:v>
      </x:c>
      <x:c r="M393" s="112" t="str">
        <x:v>제목의 펌/퍼옴 표시</x:v>
      </x:c>
      <x:c r="N393" s="116" t="str">
        <x:v>https://gall.dcinside.com/mgallery/board/view/?id=drawing&amp;no=16134&amp;exception_mode=recommend&amp;page=34</x:v>
      </x:c>
      <x:c r="O393" s="116" t="str">
        <x:v>https://m.blog.naver.com/sntu2010/221842824291</x:v>
      </x:c>
      <x:c r="P393" s="112" t="str">
        <x:v>아니오</x:v>
      </x:c>
      <x:c r="Q393" s="113" t="str">
        <x:v>자동 분류·표본 검토 대상</x:v>
      </x:c>
    </x:row>
    <x:row r="394">
      <x:c r="A394" s="100" t="n">
        <x:v>393</x:v>
      </x:c>
      <x:c r="B394" s="101" t="n">
        <x:v>43897</x:v>
      </x:c>
      <x:c r="C394" s="102" t="n">
        <x:v>2020</x:v>
      </x:c>
      <x:c r="D394" s="103" t="str">
        <x:v>ID-221842822640</x:v>
      </x:c>
      <x:c r="E394" s="112" t="str">
        <x:v>[펌]쓸데없는 이야기. 아마도 틀릴 수 있는 이야기</x:v>
      </x:c>
      <x:c r="F394" s="112" t="str">
        <x:v>웹툰작법</x:v>
      </x:c>
      <x:c r="G394" s="112" t="str">
        <x:v>웹툰 참고</x:v>
      </x:c>
      <x:c r="H394" s="112" t="str">
        <x:v>작법·상업성</x:v>
      </x:c>
      <x:c r="I394" s="112" t="n">
        <x:v>1</x:v>
      </x:c>
      <x:c r="J394" s="112" t="str">
        <x:v>작법</x:v>
      </x:c>
      <x:c r="K394" s="112" t="str">
        <x:v>재게시</x:v>
      </x:c>
      <x:c r="L394" s="112" t="str">
        <x:v>높음</x:v>
      </x:c>
      <x:c r="M394" s="112" t="str">
        <x:v>제목의 펌/퍼옴 표시</x:v>
      </x:c>
      <x:c r="N394" s="116" t="str">
        <x:v>https://gall.dcinside.com/mgallery/board/view/?id=drawing&amp;no=15438&amp;exception_mode=recommend&amp;page=34</x:v>
      </x:c>
      <x:c r="O394" s="116" t="str">
        <x:v>https://m.blog.naver.com/sntu2010/221842822640</x:v>
      </x:c>
      <x:c r="P394" s="112" t="str">
        <x:v>아니오</x:v>
      </x:c>
      <x:c r="Q394" s="113" t="str">
        <x:v>자동 분류·표본 검토 대상</x:v>
      </x:c>
    </x:row>
    <x:row r="395">
      <x:c r="A395" s="100" t="n">
        <x:v>394</x:v>
      </x:c>
      <x:c r="B395" s="101" t="n">
        <x:v>43897</x:v>
      </x:c>
      <x:c r="C395" s="102" t="n">
        <x:v>2020</x:v>
      </x:c>
      <x:c r="D395" s="103" t="str">
        <x:v>ID-221842821269</x:v>
      </x:c>
      <x:c r="E395" s="112" t="str">
        <x:v>[펌]그림 기본기와 재1능, 그림 그리는 법</x:v>
      </x:c>
      <x:c r="F395" s="112" t="str">
        <x:v>웹툰작법</x:v>
      </x:c>
      <x:c r="G395" s="112" t="str">
        <x:v>웹툰 참고</x:v>
      </x:c>
      <x:c r="H395" s="112" t="str">
        <x:v>작법·상업성</x:v>
      </x:c>
      <x:c r="I395" s="112" t="n">
        <x:v>1</x:v>
      </x:c>
      <x:c r="J395" s="112" t="str">
        <x:v>작법</x:v>
      </x:c>
      <x:c r="K395" s="112" t="str">
        <x:v>재게시</x:v>
      </x:c>
      <x:c r="L395" s="112" t="str">
        <x:v>높음</x:v>
      </x:c>
      <x:c r="M395" s="112" t="str">
        <x:v>제목의 펌/퍼옴 표시</x:v>
      </x:c>
      <x:c r="N395" s="116" t="str">
        <x:v>https://gall.dcinside.com/mgallery/board/view/?id=drawing&amp;no=14592&amp;exception_mode=recommend&amp;page=35</x:v>
      </x:c>
      <x:c r="O395" s="116" t="str">
        <x:v>https://m.blog.naver.com/sntu2010/221842821269</x:v>
      </x:c>
      <x:c r="P395" s="112" t="str">
        <x:v>아니오</x:v>
      </x:c>
      <x:c r="Q395" s="113" t="str">
        <x:v>자동 분류·표본 검토 대상</x:v>
      </x:c>
    </x:row>
    <x:row r="396">
      <x:c r="A396" s="100" t="n">
        <x:v>395</x:v>
      </x:c>
      <x:c r="B396" s="101" t="n">
        <x:v>43897</x:v>
      </x:c>
      <x:c r="C396" s="102" t="n">
        <x:v>2020</x:v>
      </x:c>
      <x:c r="D396" s="103" t="str">
        <x:v>ID-221842820141</x:v>
      </x:c>
      <x:c r="E396" s="112" t="str">
        <x:v>[펌]기본기 무의미 주장하는애들은 해외에도 말 많음</x:v>
      </x:c>
      <x:c r="F396" s="112" t="str">
        <x:v>웹툰작법</x:v>
      </x:c>
      <x:c r="G396" s="112" t="str">
        <x:v>웹툰 참고</x:v>
      </x:c>
      <x:c r="H396" s="112" t="str">
        <x:v>작법·상업성</x:v>
      </x:c>
      <x:c r="I396" s="112" t="n">
        <x:v>1</x:v>
      </x:c>
      <x:c r="J396" s="112" t="str">
        <x:v>작법</x:v>
      </x:c>
      <x:c r="K396" s="112" t="str">
        <x:v>재게시</x:v>
      </x:c>
      <x:c r="L396" s="112" t="str">
        <x:v>높음</x:v>
      </x:c>
      <x:c r="M396" s="112" t="str">
        <x:v>제목의 펌/퍼옴 표시</x:v>
      </x:c>
      <x:c r="N396" s="116" t="str">
        <x:v>https://gall.dcinside.com/board/lists/?id=cartoon_s&amp;page=2&amp;exception_mode=recommend</x:v>
      </x:c>
      <x:c r="O396" s="116" t="str">
        <x:v>https://m.blog.naver.com/sntu2010/221842820141</x:v>
      </x:c>
      <x:c r="P396" s="112" t="str">
        <x:v>아니오</x:v>
      </x:c>
      <x:c r="Q396" s="113" t="str">
        <x:v>자동 분류·표본 검토 대상</x:v>
      </x:c>
    </x:row>
    <x:row r="397">
      <x:c r="A397" s="100" t="n">
        <x:v>396</x:v>
      </x:c>
      <x:c r="B397" s="101" t="n">
        <x:v>43897</x:v>
      </x:c>
      <x:c r="C397" s="102" t="n">
        <x:v>2020</x:v>
      </x:c>
      <x:c r="D397" s="103" t="str">
        <x:v>ID-221842811391</x:v>
      </x:c>
      <x:c r="E397" s="112" t="str">
        <x:v>[펌] 피규어 모작하는 팁</x:v>
      </x:c>
      <x:c r="F397" s="112" t="str">
        <x:v>웹툰작법</x:v>
      </x:c>
      <x:c r="G397" s="112" t="str">
        <x:v>웹툰 참고</x:v>
      </x:c>
      <x:c r="H397" s="112" t="str">
        <x:v>작법·상업성</x:v>
      </x:c>
      <x:c r="I397" s="112" t="n">
        <x:v>1</x:v>
      </x:c>
      <x:c r="J397" s="112" t="str">
        <x:v>작법</x:v>
      </x:c>
      <x:c r="K397" s="112" t="str">
        <x:v>재게시</x:v>
      </x:c>
      <x:c r="L397" s="112" t="str">
        <x:v>높음</x:v>
      </x:c>
      <x:c r="M397" s="112" t="str">
        <x:v>제목의 펌/퍼옴 표시</x:v>
      </x:c>
      <x:c r="N397" s="116" t="str">
        <x:v>https://gall.dcinside.com/mgallery/board/view/?id=drawing&amp;no=13005&amp;exception_mode=recommend&amp;page=37</x:v>
      </x:c>
      <x:c r="O397" s="116" t="str">
        <x:v>https://m.blog.naver.com/sntu2010/221842811391</x:v>
      </x:c>
      <x:c r="P397" s="112" t="str">
        <x:v>아니오</x:v>
      </x:c>
      <x:c r="Q397" s="113" t="str">
        <x:v>자동 분류·표본 검토 대상</x:v>
      </x:c>
    </x:row>
    <x:row r="398">
      <x:c r="A398" s="100" t="n">
        <x:v>397</x:v>
      </x:c>
      <x:c r="B398" s="101" t="n">
        <x:v>43897</x:v>
      </x:c>
      <x:c r="C398" s="102" t="n">
        <x:v>2020</x:v>
      </x:c>
      <x:c r="D398" s="103" t="str">
        <x:v>ID-221842810049</x:v>
      </x:c>
      <x:c r="E398" s="112" t="str">
        <x:v>[펌]그림 입문 하는 갤러들에게 개인적인 팁</x:v>
      </x:c>
      <x:c r="F398" s="112" t="str">
        <x:v>웹툰작법</x:v>
      </x:c>
      <x:c r="G398" s="112" t="str">
        <x:v>웹툰 참고</x:v>
      </x:c>
      <x:c r="H398" s="112" t="str">
        <x:v>작법·상업성</x:v>
      </x:c>
      <x:c r="I398" s="112" t="n">
        <x:v>1</x:v>
      </x:c>
      <x:c r="J398" s="112" t="str">
        <x:v>작법</x:v>
      </x:c>
      <x:c r="K398" s="112" t="str">
        <x:v>재게시</x:v>
      </x:c>
      <x:c r="L398" s="112" t="str">
        <x:v>높음</x:v>
      </x:c>
      <x:c r="M398" s="112" t="str">
        <x:v>제목의 펌/퍼옴 표시</x:v>
      </x:c>
      <x:c r="N398" s="116" t="str">
        <x:v>https://gall.dcinside.com/mgallery/board/view/?id=drawing&amp;no=12948&amp;exception_mode=recommend&amp;page=37</x:v>
      </x:c>
      <x:c r="O398" s="116" t="str">
        <x:v>https://m.blog.naver.com/sntu2010/221842810049</x:v>
      </x:c>
      <x:c r="P398" s="112" t="str">
        <x:v>아니오</x:v>
      </x:c>
      <x:c r="Q398" s="113" t="str">
        <x:v>자동 분류·표본 검토 대상</x:v>
      </x:c>
    </x:row>
    <x:row r="399">
      <x:c r="A399" s="100" t="n">
        <x:v>398</x:v>
      </x:c>
      <x:c r="B399" s="101" t="n">
        <x:v>43895</x:v>
      </x:c>
      <x:c r="C399" s="102" t="n">
        <x:v>2020</x:v>
      </x:c>
      <x:c r="D399" s="103" t="str">
        <x:v>ID-221839757977</x:v>
      </x:c>
      <x:c r="E399" s="112" t="str">
        <x:v>[펌]1~2시간만에 글 빨리 쓰는 작가의 비결.txt</x:v>
      </x:c>
      <x:c r="F399" s="112" t="str">
        <x:v>웹소작법</x:v>
      </x:c>
      <x:c r="G399" s="112" t="str">
        <x:v>웹소설 직접</x:v>
      </x:c>
      <x:c r="H399" s="112" t="str">
        <x:v>캐릭터·전개</x:v>
      </x:c>
      <x:c r="I399" s="112" t="n">
        <x:v>3</x:v>
      </x:c>
      <x:c r="J399" s="112" t="str">
        <x:v>캐릭터, 대사, 전개</x:v>
      </x:c>
      <x:c r="K399" s="112" t="str">
        <x:v>재게시</x:v>
      </x:c>
      <x:c r="L399" s="112" t="str">
        <x:v>높음</x:v>
      </x:c>
      <x:c r="M399" s="112" t="str">
        <x:v>제목의 펌/퍼옴 표시</x:v>
      </x:c>
      <x:c r="N399" s="116" t="str">
        <x:v>https://gall.dcinside.com/mgallery/board/view/?id=tgijjdd&amp;no=277871&amp;s_type=search_all&amp;s_keyword=%EB%B9%A8%EB%A6%AC&amp;page=1</x:v>
      </x:c>
      <x:c r="O399" s="116" t="str">
        <x:v>https://m.blog.naver.com/sntu2010/221839757977</x:v>
      </x:c>
      <x:c r="P399" s="112" t="str">
        <x:v>아니오</x:v>
      </x:c>
      <x:c r="Q399" s="113" t="str">
        <x:v>자동 분류·표본 검토 대상</x:v>
      </x:c>
    </x:row>
    <x:row r="400">
      <x:c r="A400" s="100" t="n">
        <x:v>399</x:v>
      </x:c>
      <x:c r="B400" s="101" t="n">
        <x:v>43895</x:v>
      </x:c>
      <x:c r="C400" s="102" t="n">
        <x:v>2020</x:v>
      </x:c>
      <x:c r="D400" s="103" t="str">
        <x:v>ID-221839757370</x:v>
      </x:c>
      <x:c r="E400" s="112" t="str">
        <x:v>[펌]국내 탑 티어 작가들의 조언 요약</x:v>
      </x:c>
      <x:c r="F400" s="112" t="str">
        <x:v>웹툰작법</x:v>
      </x:c>
      <x:c r="G400" s="112" t="str">
        <x:v>웹툰 참고</x:v>
      </x:c>
      <x:c r="H400" s="112" t="str">
        <x:v>작법·상업성</x:v>
      </x:c>
      <x:c r="I400" s="112" t="n">
        <x:v>5</x:v>
      </x:c>
      <x:c r="J400" s="112" t="str">
        <x:v>독자, 재미, 작법</x:v>
      </x:c>
      <x:c r="K400" s="112" t="str">
        <x:v>재게시</x:v>
      </x:c>
      <x:c r="L400" s="112" t="str">
        <x:v>높음</x:v>
      </x:c>
      <x:c r="M400" s="112" t="str">
        <x:v>제목의 펌/퍼옴 표시</x:v>
      </x:c>
      <x:c r="N400" s="116" t="str">
        <x:v>https://gall.dcinside.com/mgallery/board/view/?id=tgijjdd&amp;no=277819&amp;exception_mode=recommend&amp;page=1</x:v>
      </x:c>
      <x:c r="O400" s="116" t="str">
        <x:v>https://m.blog.naver.com/sntu2010/221839757370</x:v>
      </x:c>
      <x:c r="P400" s="112" t="str">
        <x:v>아니오</x:v>
      </x:c>
      <x:c r="Q400" s="113" t="str">
        <x:v>자동 분류·표본 검토 대상</x:v>
      </x:c>
    </x:row>
    <x:row r="401">
      <x:c r="A401" s="100" t="n">
        <x:v>400</x:v>
      </x:c>
      <x:c r="B401" s="101" t="n">
        <x:v>43893</x:v>
      </x:c>
      <x:c r="C401" s="102" t="n">
        <x:v>2020</x:v>
      </x:c>
      <x:c r="D401" s="103" t="str">
        <x:v>ID-221836297112</x:v>
      </x:c>
      <x:c r="E401" s="112" t="str">
        <x:v>[펌]스크리브너를 알아보자</x:v>
      </x:c>
      <x:c r="F401" s="112" t="str">
        <x:v>웹소작법</x:v>
      </x:c>
      <x:c r="G401" s="112" t="str">
        <x:v>웹소설 직접</x:v>
      </x:c>
      <x:c r="H401" s="112" t="str">
        <x:v>작법·상업성</x:v>
      </x:c>
      <x:c r="I401" s="112" t="n">
        <x:v>3</x:v>
      </x:c>
      <x:c r="J401" s="112" t="str">
        <x:v>글쓰기, 제목, 작법</x:v>
      </x:c>
      <x:c r="K401" s="112" t="str">
        <x:v>재게시</x:v>
      </x:c>
      <x:c r="L401" s="112" t="str">
        <x:v>높음</x:v>
      </x:c>
      <x:c r="M401" s="112" t="str">
        <x:v>제목의 펌/퍼옴 표시</x:v>
      </x:c>
      <x:c r="N401" s="116" t="str">
        <x:v>https://gall.dcinside.com/mgallery/board/view/?id=tgijjdd&amp;no=277018&amp;exception_mode=recommend&amp;page=1</x:v>
      </x:c>
      <x:c r="O401" s="116" t="str">
        <x:v>https://m.blog.naver.com/sntu2010/221836297112</x:v>
      </x:c>
      <x:c r="P401" s="112" t="str">
        <x:v>아니오</x:v>
      </x:c>
      <x:c r="Q401" s="113" t="str">
        <x:v>자동 분류·표본 검토 대상</x:v>
      </x:c>
    </x:row>
    <x:row r="402">
      <x:c r="A402" s="100" t="n">
        <x:v>401</x:v>
      </x:c>
      <x:c r="B402" s="101" t="n">
        <x:v>43892</x:v>
      </x:c>
      <x:c r="C402" s="102" t="n">
        <x:v>2020</x:v>
      </x:c>
      <x:c r="D402" s="103" t="str">
        <x:v>ID-221833535766</x:v>
      </x:c>
      <x:c r="E402" s="112" t="str">
        <x:v>4년차 전업 웹소설 작가의 소회(所懷)</x:v>
      </x:c>
      <x:c r="F402" s="112" t="str">
        <x:v>웹소생각</x:v>
      </x:c>
      <x:c r="G402" s="112" t="str">
        <x:v>웹소설 직접</x:v>
      </x:c>
      <x:c r="H402" s="112" t="str">
        <x:v>수익·운영</x:v>
      </x:c>
      <x:c r="I402" s="112" t="n">
        <x:v>20</x:v>
      </x:c>
      <x:c r="J402" s="112" t="str">
        <x:v>전업</x:v>
      </x:c>
      <x:c r="K402" s="112" t="str">
        <x:v>본인 작성/의견 추정</x:v>
      </x:c>
      <x:c r="L402" s="112" t="str">
        <x:v>낮음</x:v>
      </x:c>
      <x:c r="M402" s="112" t="str">
        <x:v>재게시 표시는 없으나 저자성 직접 증거 부족</x:v>
      </x:c>
      <x:c r="N402" s="116" t="str"/>
      <x:c r="O402" s="116" t="str">
        <x:v>https://m.blog.naver.com/sntu2010/221833535766</x:v>
      </x:c>
      <x:c r="P402" s="112" t="str">
        <x:v>예</x:v>
      </x:c>
      <x:c r="Q402" s="113" t="str">
        <x:v>자동 분류·표본 검토 대상</x:v>
      </x:c>
    </x:row>
    <x:row r="403">
      <x:c r="A403" s="100" t="n">
        <x:v>402</x:v>
      </x:c>
      <x:c r="B403" s="101" t="n">
        <x:v>43891</x:v>
      </x:c>
      <x:c r="C403" s="102" t="n">
        <x:v>2020</x:v>
      </x:c>
      <x:c r="D403" s="103" t="str">
        <x:v>ID-221832539982</x:v>
      </x:c>
      <x:c r="E403" s="112" t="str">
        <x:v>[펌]유동이 남기는 글쓰기 팁</x:v>
      </x:c>
      <x:c r="F403" s="112" t="str">
        <x:v>웹소작법</x:v>
      </x:c>
      <x:c r="G403" s="112" t="str">
        <x:v>웹소설 직접</x:v>
      </x:c>
      <x:c r="H403" s="112" t="str">
        <x:v>작법·상업성</x:v>
      </x:c>
      <x:c r="I403" s="112" t="n">
        <x:v>23</x:v>
      </x:c>
      <x:c r="J403" s="112" t="str">
        <x:v>글쓰기, 작법, 독자</x:v>
      </x:c>
      <x:c r="K403" s="112" t="str">
        <x:v>재게시</x:v>
      </x:c>
      <x:c r="L403" s="112" t="str">
        <x:v>높음</x:v>
      </x:c>
      <x:c r="M403" s="112" t="str">
        <x:v>제목의 펌/퍼옴 표시</x:v>
      </x:c>
      <x:c r="N403" s="116" t="str">
        <x:v>https://gall.dcinside.com/mgallery/board/view/?id=tgijjdd&amp;no=275939&amp;page=1</x:v>
      </x:c>
      <x:c r="O403" s="116" t="str">
        <x:v>https://m.blog.naver.com/sntu2010/221832539982</x:v>
      </x:c>
      <x:c r="P403" s="112" t="str">
        <x:v>예</x:v>
      </x:c>
      <x:c r="Q403" s="113" t="str">
        <x:v>자동 분류·표본 검토 대상</x:v>
      </x:c>
    </x:row>
    <x:row r="404">
      <x:c r="A404" s="100" t="n">
        <x:v>403</x:v>
      </x:c>
      <x:c r="B404" s="101" t="n">
        <x:v>43889</x:v>
      </x:c>
      <x:c r="C404" s="102" t="n">
        <x:v>2020</x:v>
      </x:c>
      <x:c r="D404" s="103" t="str">
        <x:v>ID-221829977821</x:v>
      </x:c>
      <x:c r="E404" s="112" t="str">
        <x:v>[펌]시나리오 이론서에 대한 봉준호의 생각.jpg</x:v>
      </x:c>
      <x:c r="F404" s="112" t="str">
        <x:v>웹소작법</x:v>
      </x:c>
      <x:c r="G404" s="112" t="str">
        <x:v>웹소설 직접</x:v>
      </x:c>
      <x:c r="H404" s="112" t="str">
        <x:v>작법·상업성</x:v>
      </x:c>
      <x:c r="I404" s="112" t="n">
        <x:v>1</x:v>
      </x:c>
      <x:c r="J404" s="112" t="str">
        <x:v>작법</x:v>
      </x:c>
      <x:c r="K404" s="112" t="str">
        <x:v>재게시</x:v>
      </x:c>
      <x:c r="L404" s="112" t="str">
        <x:v>높음</x:v>
      </x:c>
      <x:c r="M404" s="112" t="str">
        <x:v>제목의 펌/퍼옴 표시</x:v>
      </x:c>
      <x:c r="N404" s="116" t="str">
        <x:v>https://gall.dcinside.com/mgallery/board/view/?id=tgijjdd&amp;no=275287&amp;page=1</x:v>
      </x:c>
      <x:c r="O404" s="116" t="str">
        <x:v>https://m.blog.naver.com/sntu2010/221829977821</x:v>
      </x:c>
      <x:c r="P404" s="112" t="str">
        <x:v>아니오</x:v>
      </x:c>
      <x:c r="Q404" s="113" t="str">
        <x:v>자동 분류·표본 검토 대상</x:v>
      </x:c>
    </x:row>
    <x:row r="405">
      <x:c r="A405" s="100" t="n">
        <x:v>404</x:v>
      </x:c>
      <x:c r="B405" s="101" t="n">
        <x:v>43888</x:v>
      </x:c>
      <x:c r="C405" s="102" t="n">
        <x:v>2020</x:v>
      </x:c>
      <x:c r="D405" s="103" t="str">
        <x:v>ID-221827302201</x:v>
      </x:c>
      <x:c r="E405" s="112" t="str">
        <x:v>[펌]밑에 문피아 조판양식 못 구했으면 이 글 봐라</x:v>
      </x:c>
      <x:c r="F405" s="112" t="str">
        <x:v>웹소작법</x:v>
      </x:c>
      <x:c r="G405" s="112" t="str">
        <x:v>웹소설 직접</x:v>
      </x:c>
      <x:c r="H405" s="112" t="str">
        <x:v>플랫폼·투고·계약</x:v>
      </x:c>
      <x:c r="I405" s="112" t="n">
        <x:v>20</x:v>
      </x:c>
      <x:c r="J405" s="112" t="str">
        <x:v>문피아</x:v>
      </x:c>
      <x:c r="K405" s="112" t="str">
        <x:v>재게시</x:v>
      </x:c>
      <x:c r="L405" s="112" t="str">
        <x:v>높음</x:v>
      </x:c>
      <x:c r="M405" s="112" t="str">
        <x:v>제목의 펌/퍼옴 표시</x:v>
      </x:c>
      <x:c r="N405" s="116" t="str">
        <x:v>https://gall.dcinside.com/mgallery/board/view/?id=tgijjdd&amp;no=178013</x:v>
      </x:c>
      <x:c r="O405" s="116" t="str">
        <x:v>https://m.blog.naver.com/sntu2010/221827302201</x:v>
      </x:c>
      <x:c r="P405" s="112" t="str">
        <x:v>예</x:v>
      </x:c>
      <x:c r="Q405" s="113" t="str">
        <x:v>자동 분류·표본 검토 대상</x:v>
      </x:c>
    </x:row>
    <x:row r="406">
      <x:c r="A406" s="100" t="n">
        <x:v>405</x:v>
      </x:c>
      <x:c r="B406" s="101" t="n">
        <x:v>43888</x:v>
      </x:c>
      <x:c r="C406" s="102" t="n">
        <x:v>2020</x:v>
      </x:c>
      <x:c r="D406" s="103" t="str">
        <x:v>ID-221827299879</x:v>
      </x:c>
      <x:c r="E406" s="112" t="str">
        <x:v>[펌]문피아에서 배포하는 한글 조판 양식</x:v>
      </x:c>
      <x:c r="F406" s="112" t="str">
        <x:v>웹소작법</x:v>
      </x:c>
      <x:c r="G406" s="112" t="str">
        <x:v>웹소설 직접</x:v>
      </x:c>
      <x:c r="H406" s="112" t="str">
        <x:v>플랫폼·투고·계약</x:v>
      </x:c>
      <x:c r="I406" s="112" t="n">
        <x:v>21</x:v>
      </x:c>
      <x:c r="J406" s="112" t="str">
        <x:v>문피아</x:v>
      </x:c>
      <x:c r="K406" s="112" t="str">
        <x:v>재게시</x:v>
      </x:c>
      <x:c r="L406" s="112" t="str">
        <x:v>높음</x:v>
      </x:c>
      <x:c r="M406" s="112" t="str">
        <x:v>제목의 펌/퍼옴 표시</x:v>
      </x:c>
      <x:c r="N406" s="116" t="str">
        <x:v>http://help.munpia.com/boApply/page/1/beSrl/591956</x:v>
      </x:c>
      <x:c r="O406" s="116" t="str">
        <x:v>https://m.blog.naver.com/sntu2010/221827299879</x:v>
      </x:c>
      <x:c r="P406" s="112" t="str">
        <x:v>예</x:v>
      </x:c>
      <x:c r="Q406" s="113" t="str">
        <x:v>자동 분류·표본 검토 대상</x:v>
      </x:c>
    </x:row>
    <x:row r="407">
      <x:c r="A407" s="100" t="n">
        <x:v>406</x:v>
      </x:c>
      <x:c r="B407" s="101" t="n">
        <x:v>43888</x:v>
      </x:c>
      <x:c r="C407" s="102" t="n">
        <x:v>2020</x:v>
      </x:c>
      <x:c r="D407" s="103" t="str">
        <x:v>ID-221827293654</x:v>
      </x:c>
      <x:c r="E407" s="112" t="str">
        <x:v>[펌]문피아 조판양식 개량형 배포한다</x:v>
      </x:c>
      <x:c r="F407" s="112" t="str">
        <x:v>웹소작법</x:v>
      </x:c>
      <x:c r="G407" s="112" t="str">
        <x:v>웹소설 직접</x:v>
      </x:c>
      <x:c r="H407" s="112" t="str">
        <x:v>플랫폼·투고·계약</x:v>
      </x:c>
      <x:c r="I407" s="112" t="n">
        <x:v>25</x:v>
      </x:c>
      <x:c r="J407" s="112" t="str">
        <x:v>문피아</x:v>
      </x:c>
      <x:c r="K407" s="112" t="str">
        <x:v>재게시</x:v>
      </x:c>
      <x:c r="L407" s="112" t="str">
        <x:v>높음</x:v>
      </x:c>
      <x:c r="M407" s="112" t="str">
        <x:v>제목의 펌/퍼옴 표시</x:v>
      </x:c>
      <x:c r="N407" s="116" t="str">
        <x:v>https://gall.dcinside.com/mgallery/board/view?id=tgijjdd&amp;no=11085</x:v>
      </x:c>
      <x:c r="O407" s="116" t="str">
        <x:v>https://m.blog.naver.com/sntu2010/221827293654</x:v>
      </x:c>
      <x:c r="P407" s="112" t="str">
        <x:v>예</x:v>
      </x:c>
      <x:c r="Q407" s="113" t="str">
        <x:v>자동 분류·표본 검토 대상</x:v>
      </x:c>
    </x:row>
    <x:row r="408">
      <x:c r="A408" s="100" t="n">
        <x:v>407</x:v>
      </x:c>
      <x:c r="B408" s="101" t="n">
        <x:v>43885</x:v>
      </x:c>
      <x:c r="C408" s="102" t="n">
        <x:v>2020</x:v>
      </x:c>
      <x:c r="D408" s="103" t="str">
        <x:v>ID-221823464799</x:v>
      </x:c>
      <x:c r="E408" s="112" t="str">
        <x:v>[펌]3질 작가의 글쓰는 방법</x:v>
      </x:c>
      <x:c r="F408" s="112" t="str">
        <x:v>웹소작법</x:v>
      </x:c>
      <x:c r="G408" s="112" t="str">
        <x:v>웹소설 직접</x:v>
      </x:c>
      <x:c r="H408" s="112" t="str">
        <x:v>캐릭터·전개</x:v>
      </x:c>
      <x:c r="I408" s="112" t="n">
        <x:v>1</x:v>
      </x:c>
      <x:c r="J408" s="112" t="str">
        <x:v>주인공</x:v>
      </x:c>
      <x:c r="K408" s="112" t="str">
        <x:v>재게시</x:v>
      </x:c>
      <x:c r="L408" s="112" t="str">
        <x:v>높음</x:v>
      </x:c>
      <x:c r="M408" s="112" t="str">
        <x:v>제목의 펌/퍼옴 표시</x:v>
      </x:c>
      <x:c r="N408" s="116" t="str">
        <x:v>https://gall.dcinside.com/mgallery/board/view/?id=tgijjdd&amp;no=273346&amp;page=1</x:v>
      </x:c>
      <x:c r="O408" s="116" t="str">
        <x:v>https://m.blog.naver.com/sntu2010/221823464799</x:v>
      </x:c>
      <x:c r="P408" s="112" t="str">
        <x:v>아니오</x:v>
      </x:c>
      <x:c r="Q408" s="113" t="str">
        <x:v>자동 분류·표본 검토 대상</x:v>
      </x:c>
    </x:row>
    <x:row r="409">
      <x:c r="A409" s="100" t="n">
        <x:v>408</x:v>
      </x:c>
      <x:c r="B409" s="101" t="n">
        <x:v>43884</x:v>
      </x:c>
      <x:c r="C409" s="102" t="n">
        <x:v>2020</x:v>
      </x:c>
      <x:c r="D409" s="103" t="str">
        <x:v>ID-221821402472</x:v>
      </x:c>
      <x:c r="E409" s="112" t="str">
        <x:v>[펌]강산 작가님의 노하우 2개</x:v>
      </x:c>
      <x:c r="F409" s="112" t="str">
        <x:v>웹소작법</x:v>
      </x:c>
      <x:c r="G409" s="112" t="str">
        <x:v>웹소설 직접</x:v>
      </x:c>
      <x:c r="H409" s="112" t="str">
        <x:v>작법·상업성</x:v>
      </x:c>
      <x:c r="I409" s="112" t="n">
        <x:v>6</x:v>
      </x:c>
      <x:c r="J409" s="112" t="str">
        <x:v>제목, 독자, 작법</x:v>
      </x:c>
      <x:c r="K409" s="112" t="str">
        <x:v>재게시</x:v>
      </x:c>
      <x:c r="L409" s="112" t="str">
        <x:v>높음</x:v>
      </x:c>
      <x:c r="M409" s="112" t="str">
        <x:v>제목의 펌/퍼옴 표시</x:v>
      </x:c>
      <x:c r="N409" s="116" t="str">
        <x:v>https://gall.dcinside.com/mgallery/board/view/?id=tgijjdd&amp;no=272657&amp;exception_mode=recommend&amp;page=1</x:v>
      </x:c>
      <x:c r="O409" s="116" t="str">
        <x:v>https://m.blog.naver.com/sntu2010/221821402472</x:v>
      </x:c>
      <x:c r="P409" s="112" t="str">
        <x:v>예</x:v>
      </x:c>
      <x:c r="Q409" s="113" t="str">
        <x:v>자동 분류·표본 검토 대상</x:v>
      </x:c>
    </x:row>
    <x:row r="410">
      <x:c r="A410" s="100" t="n">
        <x:v>409</x:v>
      </x:c>
      <x:c r="B410" s="101" t="n">
        <x:v>43884</x:v>
      </x:c>
      <x:c r="C410" s="102" t="n">
        <x:v>2020</x:v>
      </x:c>
      <x:c r="D410" s="103" t="str">
        <x:v>ID-221821395284</x:v>
      </x:c>
      <x:c r="E410" s="112" t="str">
        <x:v>[펌]요즘 계약 관련 메일이 많이 와서 쓰는 썰 (비율, 선인세)</x:v>
      </x:c>
      <x:c r="F410" s="112" t="str">
        <x:v>웹소작법</x:v>
      </x:c>
      <x:c r="G410" s="112" t="str">
        <x:v>웹소설 직접</x:v>
      </x:c>
      <x:c r="H410" s="112" t="str">
        <x:v>플랫폼·투고·계약</x:v>
      </x:c>
      <x:c r="I410" s="112" t="n">
        <x:v>28</x:v>
      </x:c>
      <x:c r="J410" s="112" t="str">
        <x:v>계약, 매니지, 출판사, 문피아, 카카오, 네이버, 플랫폼</x:v>
      </x:c>
      <x:c r="K410" s="112" t="str">
        <x:v>재게시</x:v>
      </x:c>
      <x:c r="L410" s="112" t="str">
        <x:v>높음</x:v>
      </x:c>
      <x:c r="M410" s="112" t="str">
        <x:v>제목의 펌/퍼옴 표시</x:v>
      </x:c>
      <x:c r="N410" s="116" t="str">
        <x:v>https://gall.dcinside.com/mgallery/board/view/?id=tgijjdd&amp;no=272760&amp;page=1</x:v>
      </x:c>
      <x:c r="O410" s="116" t="str">
        <x:v>https://m.blog.naver.com/sntu2010/221821395284</x:v>
      </x:c>
      <x:c r="P410" s="112" t="str">
        <x:v>예</x:v>
      </x:c>
      <x:c r="Q410" s="113" t="str">
        <x:v>자동 분류·표본 검토 대상</x:v>
      </x:c>
    </x:row>
    <x:row r="411">
      <x:c r="A411" s="100" t="n">
        <x:v>410</x:v>
      </x:c>
      <x:c r="B411" s="101" t="n">
        <x:v>43883</x:v>
      </x:c>
      <x:c r="C411" s="102" t="n">
        <x:v>2020</x:v>
      </x:c>
      <x:c r="D411" s="103" t="str">
        <x:v>ID-221819787406</x:v>
      </x:c>
      <x:c r="E411" s="112" t="str">
        <x:v>[펌]카카페에 관한 이런저런 이야기</x:v>
      </x:c>
      <x:c r="F411" s="112" t="str">
        <x:v>웹소작법</x:v>
      </x:c>
      <x:c r="G411" s="112" t="str">
        <x:v>웹소설 직접</x:v>
      </x:c>
      <x:c r="H411" s="112" t="str">
        <x:v>플랫폼·투고·계약</x:v>
      </x:c>
      <x:c r="I411" s="112" t="n">
        <x:v>8</x:v>
      </x:c>
      <x:c r="J411" s="112" t="str">
        <x:v>카카오, 문피아, 네이버, 조아라</x:v>
      </x:c>
      <x:c r="K411" s="112" t="str">
        <x:v>재게시</x:v>
      </x:c>
      <x:c r="L411" s="112" t="str">
        <x:v>높음</x:v>
      </x:c>
      <x:c r="M411" s="112" t="str">
        <x:v>제목의 펌/퍼옴 표시</x:v>
      </x:c>
      <x:c r="N411" s="116" t="str">
        <x:v>https://gall.dcinside.com/mgallery/board/view/?id=tgijjdd&amp;no=225380&amp;exception_mode=recommend&amp;search_head=30&amp;page=1</x:v>
      </x:c>
      <x:c r="O411" s="116" t="str">
        <x:v>https://m.blog.naver.com/sntu2010/221819787406</x:v>
      </x:c>
      <x:c r="P411" s="112" t="str">
        <x:v>예</x:v>
      </x:c>
      <x:c r="Q411" s="113" t="str">
        <x:v>자동 분류·표본 검토 대상</x:v>
      </x:c>
    </x:row>
    <x:row r="412">
      <x:c r="A412" s="100" t="n">
        <x:v>411</x:v>
      </x:c>
      <x:c r="B412" s="101" t="n">
        <x:v>43883</x:v>
      </x:c>
      <x:c r="C412" s="102" t="n">
        <x:v>2020</x:v>
      </x:c>
      <x:c r="D412" s="103" t="str">
        <x:v>ID-221819780270</x:v>
      </x:c>
      <x:c r="E412" s="112" t="str">
        <x:v>[펌]하꼬 작가의 1질 완결을 앞두고 지금까지 느낀 점</x:v>
      </x:c>
      <x:c r="F412" s="112" t="str">
        <x:v>웹소작법</x:v>
      </x:c>
      <x:c r="G412" s="112" t="str">
        <x:v>웹소설 직접</x:v>
      </x:c>
      <x:c r="H412" s="112" t="str">
        <x:v>캐릭터·전개</x:v>
      </x:c>
      <x:c r="I412" s="112" t="n">
        <x:v>5</x:v>
      </x:c>
      <x:c r="J412" s="112" t="str">
        <x:v>전개, 주인공</x:v>
      </x:c>
      <x:c r="K412" s="112" t="str">
        <x:v>재게시</x:v>
      </x:c>
      <x:c r="L412" s="112" t="str">
        <x:v>높음</x:v>
      </x:c>
      <x:c r="M412" s="112" t="str">
        <x:v>제목의 펌/퍼옴 표시</x:v>
      </x:c>
      <x:c r="N412" s="116" t="str">
        <x:v>https://gall.dcinside.com/mgallery/board/view/?id=tgijjdd&amp;no=254828&amp;exception_mode=recommend&amp;search_head=30&amp;page=1</x:v>
      </x:c>
      <x:c r="O412" s="116" t="str">
        <x:v>https://m.blog.naver.com/sntu2010/221819780270</x:v>
      </x:c>
      <x:c r="P412" s="112" t="str">
        <x:v>아니오</x:v>
      </x:c>
      <x:c r="Q412" s="113" t="str">
        <x:v>자동 분류·표본 검토 대상</x:v>
      </x:c>
    </x:row>
    <x:row r="413">
      <x:c r="A413" s="100" t="n">
        <x:v>412</x:v>
      </x:c>
      <x:c r="B413" s="101" t="n">
        <x:v>43883</x:v>
      </x:c>
      <x:c r="C413" s="102" t="n">
        <x:v>2020</x:v>
      </x:c>
      <x:c r="D413" s="103" t="str">
        <x:v>ID-221819777874</x:v>
      </x:c>
      <x:c r="E413" s="112" t="str">
        <x:v>[펌]신작 들어가는 준비와 시작까지의 과정(노쓰우드 작가님)</x:v>
      </x:c>
      <x:c r="F413" s="112" t="str">
        <x:v>웹소작법</x:v>
      </x:c>
      <x:c r="G413" s="112" t="str">
        <x:v>웹소설 직접</x:v>
      </x:c>
      <x:c r="H413" s="112" t="str">
        <x:v>초반부/연독률</x:v>
      </x:c>
      <x:c r="I413" s="112" t="n">
        <x:v>5</x:v>
      </x:c>
      <x:c r="J413" s="112" t="str">
        <x:v>1화, 10화</x:v>
      </x:c>
      <x:c r="K413" s="112" t="str">
        <x:v>재게시</x:v>
      </x:c>
      <x:c r="L413" s="112" t="str">
        <x:v>높음</x:v>
      </x:c>
      <x:c r="M413" s="112" t="str">
        <x:v>제목의 펌/퍼옴 표시</x:v>
      </x:c>
      <x:c r="N413" s="116" t="str">
        <x:v>https://gall.dcinside.com/mgallery/board/view/?id=tgijjdd&amp;no=230521&amp;exception_mode=recommend&amp;search_head=30&amp;page=1</x:v>
      </x:c>
      <x:c r="O413" s="116" t="str">
        <x:v>https://m.blog.naver.com/sntu2010/221819777874</x:v>
      </x:c>
      <x:c r="P413" s="112" t="str">
        <x:v>아니오</x:v>
      </x:c>
      <x:c r="Q413" s="113" t="str">
        <x:v>자동 분류·표본 검토 대상</x:v>
      </x:c>
    </x:row>
    <x:row r="414">
      <x:c r="A414" s="100" t="n">
        <x:v>413</x:v>
      </x:c>
      <x:c r="B414" s="101" t="n">
        <x:v>43882</x:v>
      </x:c>
      <x:c r="C414" s="102" t="n">
        <x:v>2020</x:v>
      </x:c>
      <x:c r="D414" s="103" t="str">
        <x:v>ID-221818944660</x:v>
      </x:c>
      <x:c r="E414" s="112" t="str">
        <x:v>[펌]실질적인 간접 경험 쌓는 법(강산 작가님)</x:v>
      </x:c>
      <x:c r="F414" s="112" t="str">
        <x:v>웹소작법</x:v>
      </x:c>
      <x:c r="G414" s="112" t="str">
        <x:v>웹소설 직접</x:v>
      </x:c>
      <x:c r="H414" s="112" t="str">
        <x:v>플랫폼·투고·계약</x:v>
      </x:c>
      <x:c r="I414" s="112" t="n">
        <x:v>3</x:v>
      </x:c>
      <x:c r="J414" s="112" t="str">
        <x:v>네이버</x:v>
      </x:c>
      <x:c r="K414" s="112" t="str">
        <x:v>재게시</x:v>
      </x:c>
      <x:c r="L414" s="112" t="str">
        <x:v>높음</x:v>
      </x:c>
      <x:c r="M414" s="112" t="str">
        <x:v>제목의 펌/퍼옴 표시</x:v>
      </x:c>
      <x:c r="N414" s="116" t="str">
        <x:v>https://gall.dcinside.com/mgallery/board/view/?id=tgijjdd&amp;no=271964&amp;exception_mode=recommend&amp;page=1</x:v>
      </x:c>
      <x:c r="O414" s="116" t="str">
        <x:v>https://m.blog.naver.com/sntu2010/221818944660</x:v>
      </x:c>
      <x:c r="P414" s="112" t="str">
        <x:v>아니오</x:v>
      </x:c>
      <x:c r="Q414" s="113" t="str">
        <x:v>자동 분류·표본 검토 대상</x:v>
      </x:c>
    </x:row>
    <x:row r="415">
      <x:c r="A415" s="100" t="n">
        <x:v>414</x:v>
      </x:c>
      <x:c r="B415" s="101" t="n">
        <x:v>43880</x:v>
      </x:c>
      <x:c r="C415" s="102" t="n">
        <x:v>2020</x:v>
      </x:c>
      <x:c r="D415" s="103" t="str">
        <x:v>ID-221815548945</x:v>
      </x:c>
      <x:c r="E415" s="112" t="str">
        <x:v>카카오 독점 연재 시작!</x:v>
      </x:c>
      <x:c r="F415" s="112" t="str">
        <x:v>웹소생각</x:v>
      </x:c>
      <x:c r="G415" s="112" t="str">
        <x:v>웹소설 직접</x:v>
      </x:c>
      <x:c r="H415" s="112" t="str">
        <x:v>플랫폼·투고·계약</x:v>
      </x:c>
      <x:c r="I415" s="112" t="n">
        <x:v>43</x:v>
      </x:c>
      <x:c r="J415" s="112" t="str">
        <x:v>카카오, 독점</x:v>
      </x:c>
      <x:c r="K415" s="112" t="str">
        <x:v>본인 작성/의견 추정</x:v>
      </x:c>
      <x:c r="L415" s="112" t="str">
        <x:v>낮음</x:v>
      </x:c>
      <x:c r="M415" s="112" t="str">
        <x:v>재게시 표시는 없으나 저자성 직접 증거 부족</x:v>
      </x:c>
      <x:c r="N415" s="116" t="str">
        <x:v>http://page.kakao.com/link/54488774</x:v>
      </x:c>
      <x:c r="O415" s="116" t="str">
        <x:v>https://m.blog.naver.com/sntu2010/221815548945</x:v>
      </x:c>
      <x:c r="P415" s="112" t="str">
        <x:v>예</x:v>
      </x:c>
      <x:c r="Q415" s="113" t="str">
        <x:v>자동 분류·표본 검토 대상</x:v>
      </x:c>
    </x:row>
    <x:row r="416">
      <x:c r="A416" s="100" t="n">
        <x:v>415</x:v>
      </x:c>
      <x:c r="B416" s="101" t="n">
        <x:v>43879</x:v>
      </x:c>
      <x:c r="C416" s="102" t="n">
        <x:v>2020</x:v>
      </x:c>
      <x:c r="D416" s="103" t="str">
        <x:v>ID-221814400107</x:v>
      </x:c>
      <x:c r="E416" s="112" t="str">
        <x:v>[펌]제목 어그로에 대해서</x:v>
      </x:c>
      <x:c r="F416" s="112" t="str">
        <x:v>웹소작법</x:v>
      </x:c>
      <x:c r="G416" s="112" t="str">
        <x:v>웹소설 직접</x:v>
      </x:c>
      <x:c r="H416" s="112" t="str">
        <x:v>작법·상업성</x:v>
      </x:c>
      <x:c r="I416" s="112" t="n">
        <x:v>28</x:v>
      </x:c>
      <x:c r="J416" s="112" t="str">
        <x:v>제목, 독자, 설정, 기대감, 소개글, 작법</x:v>
      </x:c>
      <x:c r="K416" s="112" t="str">
        <x:v>재게시</x:v>
      </x:c>
      <x:c r="L416" s="112" t="str">
        <x:v>높음</x:v>
      </x:c>
      <x:c r="M416" s="112" t="str">
        <x:v>제목의 펌/퍼옴 표시</x:v>
      </x:c>
      <x:c r="N416" s="116" t="str">
        <x:v>https://gall.dcinside.com/mgallery/board/view/?id=tgijjdd&amp;no=270232&amp;exception_mode=recommend&amp;page=1</x:v>
      </x:c>
      <x:c r="O416" s="116" t="str">
        <x:v>https://m.blog.naver.com/sntu2010/221814400107</x:v>
      </x:c>
      <x:c r="P416" s="112" t="str">
        <x:v>예</x:v>
      </x:c>
      <x:c r="Q416" s="113" t="str">
        <x:v>자동 분류·표본 검토 대상</x:v>
      </x:c>
    </x:row>
    <x:row r="417">
      <x:c r="A417" s="100" t="n">
        <x:v>416</x:v>
      </x:c>
      <x:c r="B417" s="101" t="n">
        <x:v>43876</x:v>
      </x:c>
      <x:c r="C417" s="102" t="n">
        <x:v>2020</x:v>
      </x:c>
      <x:c r="D417" s="103" t="str">
        <x:v>ID-221810166608</x:v>
      </x:c>
      <x:c r="E417" s="112" t="str">
        <x:v>[펌]나만의 파쿠리 꿀팁</x:v>
      </x:c>
      <x:c r="F417" s="112" t="str">
        <x:v>웹소작법</x:v>
      </x:c>
      <x:c r="G417" s="112" t="str">
        <x:v>웹소설 직접</x:v>
      </x:c>
      <x:c r="H417" s="112" t="str">
        <x:v>캐릭터·전개</x:v>
      </x:c>
      <x:c r="I417" s="112" t="n">
        <x:v>8</x:v>
      </x:c>
      <x:c r="J417" s="112" t="str">
        <x:v>에피소드, 사건, 캐릭터</x:v>
      </x:c>
      <x:c r="K417" s="112" t="str">
        <x:v>재게시</x:v>
      </x:c>
      <x:c r="L417" s="112" t="str">
        <x:v>높음</x:v>
      </x:c>
      <x:c r="M417" s="112" t="str">
        <x:v>제목의 펌/퍼옴 표시</x:v>
      </x:c>
      <x:c r="N417" s="116" t="str">
        <x:v>https://gall.dcinside.com/mgallery/board/view/?id=tgijjdd&amp;no=265158&amp;s_type=search_all&amp;s_keyword=%EB%82%98%EB%A7%8C%EC%9D%98+%ED%8C%8C%EC%BF%A0%EB%A6%AC+%EA%BF%80%ED%8C%81&amp;page=1</x:v>
      </x:c>
      <x:c r="O417" s="116" t="str">
        <x:v>https://m.blog.naver.com/sntu2010/221810166608</x:v>
      </x:c>
      <x:c r="P417" s="112" t="str">
        <x:v>예</x:v>
      </x:c>
      <x:c r="Q417" s="113" t="str">
        <x:v>자동 분류·표본 검토 대상</x:v>
      </x:c>
    </x:row>
    <x:row r="418">
      <x:c r="A418" s="100" t="n">
        <x:v>417</x:v>
      </x:c>
      <x:c r="B418" s="101" t="n">
        <x:v>43876</x:v>
      </x:c>
      <x:c r="C418" s="102" t="n">
        <x:v>2020</x:v>
      </x:c>
      <x:c r="D418" s="103" t="str">
        <x:v>ID-221810156683</x:v>
      </x:c>
      <x:c r="E418" s="112" t="str">
        <x:v>[펌]내 문피아 24시간 조회수의 12배가 실제 매출이다</x:v>
      </x:c>
      <x:c r="F418" s="112" t="str">
        <x:v>웹소작법</x:v>
      </x:c>
      <x:c r="G418" s="112" t="str">
        <x:v>웹소설 직접</x:v>
      </x:c>
      <x:c r="H418" s="112" t="str">
        <x:v>수익·운영</x:v>
      </x:c>
      <x:c r="I418" s="112" t="n">
        <x:v>28</x:v>
      </x:c>
      <x:c r="J418" s="112" t="str">
        <x:v>매출, 수입, 수익</x:v>
      </x:c>
      <x:c r="K418" s="112" t="str">
        <x:v>재게시</x:v>
      </x:c>
      <x:c r="L418" s="112" t="str">
        <x:v>높음</x:v>
      </x:c>
      <x:c r="M418" s="112" t="str">
        <x:v>제목의 펌/퍼옴 표시</x:v>
      </x:c>
      <x:c r="N418" s="116" t="str">
        <x:v>https://gall.dcinside.com/mgallery/board/view/?id=tgijjdd&amp;no=162108</x:v>
      </x:c>
      <x:c r="O418" s="116" t="str">
        <x:v>https://m.blog.naver.com/sntu2010/221810156683</x:v>
      </x:c>
      <x:c r="P418" s="112" t="str">
        <x:v>예</x:v>
      </x:c>
      <x:c r="Q418" s="113" t="str">
        <x:v>자동 분류·표본 검토 대상</x:v>
      </x:c>
    </x:row>
    <x:row r="419">
      <x:c r="A419" s="100" t="n">
        <x:v>418</x:v>
      </x:c>
      <x:c r="B419" s="101" t="n">
        <x:v>43876</x:v>
      </x:c>
      <x:c r="C419" s="102" t="n">
        <x:v>2020</x:v>
      </x:c>
      <x:c r="D419" s="103" t="str">
        <x:v>ID-221810154523</x:v>
      </x:c>
      <x:c r="E419" s="112" t="str">
        <x:v>[펌]문피아 월베 100위가 월600~800만원 번다고?</x:v>
      </x:c>
      <x:c r="F419" s="112" t="str">
        <x:v>웹소작법</x:v>
      </x:c>
      <x:c r="G419" s="112" t="str">
        <x:v>웹소설 직접</x:v>
      </x:c>
      <x:c r="H419" s="112" t="str">
        <x:v>플랫폼·투고·계약</x:v>
      </x:c>
      <x:c r="I419" s="112" t="n">
        <x:v>28</x:v>
      </x:c>
      <x:c r="J419" s="112" t="str">
        <x:v>문피아, 계약</x:v>
      </x:c>
      <x:c r="K419" s="112" t="str">
        <x:v>재게시</x:v>
      </x:c>
      <x:c r="L419" s="112" t="str">
        <x:v>높음</x:v>
      </x:c>
      <x:c r="M419" s="112" t="str">
        <x:v>제목의 펌/퍼옴 표시</x:v>
      </x:c>
      <x:c r="N419" s="116" t="str">
        <x:v>https://gall.dcinside.com/mgallery/board/view/?id=tgijjdd&amp;no=162111</x:v>
      </x:c>
      <x:c r="O419" s="116" t="str">
        <x:v>https://m.blog.naver.com/sntu2010/221810154523</x:v>
      </x:c>
      <x:c r="P419" s="112" t="str">
        <x:v>예</x:v>
      </x:c>
      <x:c r="Q419" s="113" t="str">
        <x:v>자동 분류·표본 검토 대상</x:v>
      </x:c>
    </x:row>
    <x:row r="420">
      <x:c r="A420" s="100" t="n">
        <x:v>419</x:v>
      </x:c>
      <x:c r="B420" s="101" t="n">
        <x:v>43876</x:v>
      </x:c>
      <x:c r="C420" s="102" t="n">
        <x:v>2020</x:v>
      </x:c>
      <x:c r="D420" s="103" t="str">
        <x:v>ID-221810143705</x:v>
      </x:c>
      <x:c r="E420" s="112" t="str">
        <x:v>[펌]웹소설에서 플롯이 무의미한 이유</x:v>
      </x:c>
      <x:c r="F420" s="112" t="str">
        <x:v>웹소작법</x:v>
      </x:c>
      <x:c r="G420" s="112" t="str">
        <x:v>웹소설 직접</x:v>
      </x:c>
      <x:c r="H420" s="112" t="str">
        <x:v>캐릭터·전개</x:v>
      </x:c>
      <x:c r="I420" s="112" t="n">
        <x:v>22</x:v>
      </x:c>
      <x:c r="J420" s="112" t="str">
        <x:v>플롯</x:v>
      </x:c>
      <x:c r="K420" s="112" t="str">
        <x:v>재게시</x:v>
      </x:c>
      <x:c r="L420" s="112" t="str">
        <x:v>높음</x:v>
      </x:c>
      <x:c r="M420" s="112" t="str">
        <x:v>제목의 펌/퍼옴 표시</x:v>
      </x:c>
      <x:c r="N420" s="116" t="str">
        <x:v>https://gall.dcinside.com/mgallery/board/view/?id=tgijjdd&amp;no=260485&amp;page=1</x:v>
      </x:c>
      <x:c r="O420" s="116" t="str">
        <x:v>https://m.blog.naver.com/sntu2010/221810143705</x:v>
      </x:c>
      <x:c r="P420" s="112" t="str">
        <x:v>예</x:v>
      </x:c>
      <x:c r="Q420" s="113" t="str">
        <x:v>자동 분류·표본 검토 대상</x:v>
      </x:c>
    </x:row>
    <x:row r="421">
      <x:c r="A421" s="100" t="n">
        <x:v>420</x:v>
      </x:c>
      <x:c r="B421" s="101" t="n">
        <x:v>43876</x:v>
      </x:c>
      <x:c r="C421" s="102" t="n">
        <x:v>2020</x:v>
      </x:c>
      <x:c r="D421" s="103" t="str">
        <x:v>ID-221810068752</x:v>
      </x:c>
      <x:c r="E421" s="112" t="str">
        <x:v>작가가 필명을 바꾸는 이유를 알아보자</x:v>
      </x:c>
      <x:c r="F421" s="112" t="str">
        <x:v>웹소생각</x:v>
      </x:c>
      <x:c r="G421" s="112" t="str">
        <x:v>웹소설 직접</x:v>
      </x:c>
      <x:c r="H421" s="112" t="str">
        <x:v>작법·상업성</x:v>
      </x:c>
      <x:c r="I421" s="112" t="n">
        <x:v>4</x:v>
      </x:c>
      <x:c r="J421" s="112" t="str">
        <x:v>독자, 제목</x:v>
      </x:c>
      <x:c r="K421" s="112" t="str">
        <x:v>본인 작성/의견 추정</x:v>
      </x:c>
      <x:c r="L421" s="112" t="str">
        <x:v>낮음</x:v>
      </x:c>
      <x:c r="M421" s="112" t="str">
        <x:v>재게시 표시는 없으나 저자성 직접 증거 부족</x:v>
      </x:c>
      <x:c r="N421" s="116" t="str"/>
      <x:c r="O421" s="116" t="str">
        <x:v>https://m.blog.naver.com/sntu2010/221810068752</x:v>
      </x:c>
      <x:c r="P421" s="112" t="str">
        <x:v>아니오</x:v>
      </x:c>
      <x:c r="Q421" s="113" t="str">
        <x:v>자동 분류·표본 검토 대상</x:v>
      </x:c>
    </x:row>
    <x:row r="422">
      <x:c r="A422" s="100" t="n">
        <x:v>421</x:v>
      </x:c>
      <x:c r="B422" s="101" t="n">
        <x:v>43876</x:v>
      </x:c>
      <x:c r="C422" s="102" t="n">
        <x:v>2020</x:v>
      </x:c>
      <x:c r="D422" s="103" t="str">
        <x:v>ID-221810023651</x:v>
      </x:c>
      <x:c r="E422" s="112" t="str">
        <x:v>선인세와 보장인세에 대해 알아보자</x:v>
      </x:c>
      <x:c r="F422" s="112" t="str">
        <x:v>웹소생각</x:v>
      </x:c>
      <x:c r="G422" s="112" t="str">
        <x:v>웹소설 직접</x:v>
      </x:c>
      <x:c r="H422" s="112" t="str">
        <x:v>수익·운영</x:v>
      </x:c>
      <x:c r="I422" s="112" t="n">
        <x:v>41</x:v>
      </x:c>
      <x:c r="J422" s="112" t="str">
        <x:v>인세, 수입</x:v>
      </x:c>
      <x:c r="K422" s="112" t="str">
        <x:v>본인 작성/의견 추정</x:v>
      </x:c>
      <x:c r="L422" s="112" t="str">
        <x:v>낮음</x:v>
      </x:c>
      <x:c r="M422" s="112" t="str">
        <x:v>재게시 표시는 없으나 저자성 직접 증거 부족</x:v>
      </x:c>
      <x:c r="N422" s="116" t="str"/>
      <x:c r="O422" s="116" t="str">
        <x:v>https://m.blog.naver.com/sntu2010/221810023651</x:v>
      </x:c>
      <x:c r="P422" s="112" t="str">
        <x:v>예</x:v>
      </x:c>
      <x:c r="Q422" s="113" t="str">
        <x:v>자동 분류·표본 검토 대상</x:v>
      </x:c>
    </x:row>
    <x:row r="423">
      <x:c r="A423" s="100" t="n">
        <x:v>422</x:v>
      </x:c>
      <x:c r="B423" s="101" t="n">
        <x:v>43874</x:v>
      </x:c>
      <x:c r="C423" s="102" t="n">
        <x:v>2020</x:v>
      </x:c>
      <x:c r="D423" s="103" t="str">
        <x:v>ID-221807361041</x:v>
      </x:c>
      <x:c r="E423" s="112" t="str">
        <x:v>[펌]자신감은 작가에게 제일 중요하다.</x:v>
      </x:c>
      <x:c r="F423" s="112" t="str">
        <x:v>웹소작법</x:v>
      </x:c>
      <x:c r="G423" s="112" t="str">
        <x:v>웹소설 직접</x:v>
      </x:c>
      <x:c r="H423" s="112" t="str">
        <x:v>초반부/연독률</x:v>
      </x:c>
      <x:c r="I423" s="112" t="n">
        <x:v>3</x:v>
      </x:c>
      <x:c r="J423" s="112" t="str">
        <x:v>연독, 초반, 조회수</x:v>
      </x:c>
      <x:c r="K423" s="112" t="str">
        <x:v>재게시</x:v>
      </x:c>
      <x:c r="L423" s="112" t="str">
        <x:v>높음</x:v>
      </x:c>
      <x:c r="M423" s="112" t="str">
        <x:v>제목의 펌/퍼옴 표시</x:v>
      </x:c>
      <x:c r="N423" s="116" t="str">
        <x:v>https://gall.dcinside.com/mgallery/board/view/?id=tgijjdd&amp;no=168558&amp;exception_mode=recommend&amp;page=22</x:v>
      </x:c>
      <x:c r="O423" s="116" t="str">
        <x:v>https://m.blog.naver.com/sntu2010/221807361041</x:v>
      </x:c>
      <x:c r="P423" s="112" t="str">
        <x:v>아니오</x:v>
      </x:c>
      <x:c r="Q423" s="113" t="str">
        <x:v>자동 분류·표본 검토 대상</x:v>
      </x:c>
    </x:row>
    <x:row r="424">
      <x:c r="A424" s="100" t="n">
        <x:v>423</x:v>
      </x:c>
      <x:c r="B424" s="101" t="n">
        <x:v>43874</x:v>
      </x:c>
      <x:c r="C424" s="102" t="n">
        <x:v>2020</x:v>
      </x:c>
      <x:c r="D424" s="103" t="str">
        <x:v>ID-221807356687</x:v>
      </x:c>
      <x:c r="E424" s="112" t="str">
        <x:v>[펌]후배들에게 알려주고 싶은 것. 열 세번째.</x:v>
      </x:c>
      <x:c r="F424" s="112" t="str">
        <x:v>웹소작법</x:v>
      </x:c>
      <x:c r="G424" s="112" t="str">
        <x:v>웹소설 직접</x:v>
      </x:c>
      <x:c r="H424" s="112" t="str">
        <x:v>캐릭터·전개</x:v>
      </x:c>
      <x:c r="I424" s="112" t="n">
        <x:v>7</x:v>
      </x:c>
      <x:c r="J424" s="112" t="str">
        <x:v>조연, 주인공, 에피소드</x:v>
      </x:c>
      <x:c r="K424" s="112" t="str">
        <x:v>재게시</x:v>
      </x:c>
      <x:c r="L424" s="112" t="str">
        <x:v>높음</x:v>
      </x:c>
      <x:c r="M424" s="112" t="str">
        <x:v>제목의 펌/퍼옴 표시</x:v>
      </x:c>
      <x:c r="N424" s="116" t="str">
        <x:v>https://gall.dcinside.com/mgallery/board/view/?id=tgijjdd&amp;no=267834&amp;exception_mode=recommend&amp;page=1</x:v>
      </x:c>
      <x:c r="O424" s="116" t="str">
        <x:v>https://m.blog.naver.com/sntu2010/221807356687</x:v>
      </x:c>
      <x:c r="P424" s="112" t="str">
        <x:v>예</x:v>
      </x:c>
      <x:c r="Q424" s="113" t="str">
        <x:v>자동 분류·표본 검토 대상</x:v>
      </x:c>
    </x:row>
    <x:row r="425">
      <x:c r="A425" s="100" t="n">
        <x:v>424</x:v>
      </x:c>
      <x:c r="B425" s="101" t="n">
        <x:v>43873</x:v>
      </x:c>
      <x:c r="C425" s="102" t="n">
        <x:v>2020</x:v>
      </x:c>
      <x:c r="D425" s="103" t="str">
        <x:v>ID-221806176399</x:v>
      </x:c>
      <x:c r="E425" s="112" t="str">
        <x:v>[펌]자기가 글 느리게 쓰는사람 봐라</x:v>
      </x:c>
      <x:c r="F425" s="112" t="str">
        <x:v>웹소작법</x:v>
      </x:c>
      <x:c r="G425" s="112" t="str">
        <x:v>웹소설 직접</x:v>
      </x:c>
      <x:c r="H425" s="112" t="str">
        <x:v>작법·상업성</x:v>
      </x:c>
      <x:c r="I425" s="112" t="n">
        <x:v>6</x:v>
      </x:c>
      <x:c r="J425" s="112" t="str">
        <x:v>문장, 작법</x:v>
      </x:c>
      <x:c r="K425" s="112" t="str">
        <x:v>재게시</x:v>
      </x:c>
      <x:c r="L425" s="112" t="str">
        <x:v>높음</x:v>
      </x:c>
      <x:c r="M425" s="112" t="str">
        <x:v>제목의 펌/퍼옴 표시</x:v>
      </x:c>
      <x:c r="N425" s="116" t="str">
        <x:v>https://gall.dcinside.com/mgallery/board/view/?id=tgijjdd&amp;no=267538&amp;exception_mode=recommend&amp;page=1</x:v>
      </x:c>
      <x:c r="O425" s="116" t="str">
        <x:v>https://m.blog.naver.com/sntu2010/221806176399</x:v>
      </x:c>
      <x:c r="P425" s="112" t="str">
        <x:v>예</x:v>
      </x:c>
      <x:c r="Q425" s="113" t="str">
        <x:v>자동 분류·표본 검토 대상</x:v>
      </x:c>
    </x:row>
    <x:row r="426">
      <x:c r="A426" s="100" t="n">
        <x:v>425</x:v>
      </x:c>
      <x:c r="B426" s="101" t="n">
        <x:v>43873</x:v>
      </x:c>
      <x:c r="C426" s="102" t="n">
        <x:v>2020</x:v>
      </x:c>
      <x:c r="D426" s="103" t="str">
        <x:v>ID-221805897233</x:v>
      </x:c>
      <x:c r="E426" s="112" t="str">
        <x:v>[펌]글을 써본적이 없다면. 아주 미세한 팁.</x:v>
      </x:c>
      <x:c r="F426" s="112" t="str">
        <x:v>웹소작법</x:v>
      </x:c>
      <x:c r="G426" s="112" t="str">
        <x:v>웹소설 직접</x:v>
      </x:c>
      <x:c r="H426" s="112" t="str">
        <x:v>작법·상업성</x:v>
      </x:c>
      <x:c r="I426" s="112" t="n">
        <x:v>3</x:v>
      </x:c>
      <x:c r="J426" s="112" t="str">
        <x:v>문장, 작법</x:v>
      </x:c>
      <x:c r="K426" s="112" t="str">
        <x:v>재게시</x:v>
      </x:c>
      <x:c r="L426" s="112" t="str">
        <x:v>높음</x:v>
      </x:c>
      <x:c r="M426" s="112" t="str">
        <x:v>제목의 펌/퍼옴 표시</x:v>
      </x:c>
      <x:c r="N426" s="116" t="str">
        <x:v>https://gall.dcinside.com/mgallery/board/view/?id=tgijjdd&amp;no=267457&amp;page=1</x:v>
      </x:c>
      <x:c r="O426" s="116" t="str">
        <x:v>https://m.blog.naver.com/sntu2010/221805897233</x:v>
      </x:c>
      <x:c r="P426" s="112" t="str">
        <x:v>아니오</x:v>
      </x:c>
      <x:c r="Q426" s="113" t="str">
        <x:v>자동 분류·표본 검토 대상</x:v>
      </x:c>
    </x:row>
    <x:row r="427">
      <x:c r="A427" s="100" t="n">
        <x:v>426</x:v>
      </x:c>
      <x:c r="B427" s="101" t="n">
        <x:v>43872</x:v>
      </x:c>
      <x:c r="C427" s="102" t="n">
        <x:v>2020</x:v>
      </x:c>
      <x:c r="D427" s="103" t="str">
        <x:v>ID-221805465468</x:v>
      </x:c>
      <x:c r="E427" s="112" t="str">
        <x:v>웹소설 작가 되지 말아요!</x:v>
      </x:c>
      <x:c r="F427" s="112" t="str">
        <x:v>웹소생각</x:v>
      </x:c>
      <x:c r="G427" s="112" t="str">
        <x:v>웹소설 직접</x:v>
      </x:c>
      <x:c r="H427" s="112" t="str">
        <x:v>기타/검토</x:v>
      </x:c>
      <x:c r="I427" s="112" t="n">
        <x:v>0</x:v>
      </x:c>
      <x:c r="J427" s="112" t="str"/>
      <x:c r="K427" s="112" t="str">
        <x:v>외부자료 소개/재가공</x:v>
      </x:c>
      <x:c r="L427" s="112" t="str">
        <x:v>중간</x:v>
      </x:c>
      <x:c r="M427" s="112" t="str">
        <x:v>본문 앞부분의 외부 출처 URL</x:v>
      </x:c>
      <x:c r="N427" s="116" t="str">
        <x:v>https://youtu.be/3h__yELEuCU</x:v>
      </x:c>
      <x:c r="O427" s="116" t="str">
        <x:v>https://m.blog.naver.com/sntu2010/221805465468</x:v>
      </x:c>
      <x:c r="P427" s="112" t="str">
        <x:v>아니오</x:v>
      </x:c>
      <x:c r="Q427" s="113" t="str">
        <x:v>수동 검토 필요</x:v>
      </x:c>
    </x:row>
    <x:row r="428">
      <x:c r="A428" s="100" t="n">
        <x:v>427</x:v>
      </x:c>
      <x:c r="B428" s="101" t="n">
        <x:v>43867</x:v>
      </x:c>
      <x:c r="C428" s="102" t="n">
        <x:v>2020</x:v>
      </x:c>
      <x:c r="D428" s="103" t="str">
        <x:v>ID-221798797829</x:v>
      </x:c>
      <x:c r="E428" s="112" t="str">
        <x:v>[펌]내 글먹 성공기</x:v>
      </x:c>
      <x:c r="F428" s="112" t="str">
        <x:v>웹소작법</x:v>
      </x:c>
      <x:c r="G428" s="112" t="str">
        <x:v>웹소설 직접</x:v>
      </x:c>
      <x:c r="H428" s="112" t="str">
        <x:v>캐릭터·전개</x:v>
      </x:c>
      <x:c r="I428" s="112" t="n">
        <x:v>8</x:v>
      </x:c>
      <x:c r="J428" s="112" t="str">
        <x:v>플롯, 주인공, 인물, 히로인, 전개</x:v>
      </x:c>
      <x:c r="K428" s="112" t="str">
        <x:v>재게시</x:v>
      </x:c>
      <x:c r="L428" s="112" t="str">
        <x:v>높음</x:v>
      </x:c>
      <x:c r="M428" s="112" t="str">
        <x:v>제목의 펌/퍼옴 표시</x:v>
      </x:c>
      <x:c r="N428" s="116" t="str">
        <x:v>https://gall.dcinside.com/mgallery/board/view/?id=tgijjdd&amp;no=264738&amp;exception_mode=recommend&amp;page=1</x:v>
      </x:c>
      <x:c r="O428" s="116" t="str">
        <x:v>https://m.blog.naver.com/sntu2010/221798797829</x:v>
      </x:c>
      <x:c r="P428" s="112" t="str">
        <x:v>예</x:v>
      </x:c>
      <x:c r="Q428" s="113" t="str">
        <x:v>자동 분류·표본 검토 대상</x:v>
      </x:c>
    </x:row>
    <x:row r="429">
      <x:c r="A429" s="100" t="n">
        <x:v>428</x:v>
      </x:c>
      <x:c r="B429" s="101" t="n">
        <x:v>43864</x:v>
      </x:c>
      <x:c r="C429" s="102" t="n">
        <x:v>2020</x:v>
      </x:c>
      <x:c r="D429" s="103" t="str">
        <x:v>ID-221794649495</x:v>
      </x:c>
      <x:c r="E429" s="112" t="str">
        <x:v>[펌]플롯 = 수학 공식이라 생각하면 쉽다</x:v>
      </x:c>
      <x:c r="F429" s="112" t="str">
        <x:v>웹소작법</x:v>
      </x:c>
      <x:c r="G429" s="112" t="str">
        <x:v>웹소설 직접</x:v>
      </x:c>
      <x:c r="H429" s="112" t="str">
        <x:v>캐릭터·전개</x:v>
      </x:c>
      <x:c r="I429" s="112" t="n">
        <x:v>25</x:v>
      </x:c>
      <x:c r="J429" s="112" t="str">
        <x:v>플롯</x:v>
      </x:c>
      <x:c r="K429" s="112" t="str">
        <x:v>재게시</x:v>
      </x:c>
      <x:c r="L429" s="112" t="str">
        <x:v>높음</x:v>
      </x:c>
      <x:c r="M429" s="112" t="str">
        <x:v>제목의 펌/퍼옴 표시</x:v>
      </x:c>
      <x:c r="N429" s="116" t="str">
        <x:v>https://gall.dcinside.com/mgallery/board/view/?id=tgijjdd&amp;no=245849&amp;exception_mode=recommend&amp;page=6</x:v>
      </x:c>
      <x:c r="O429" s="116" t="str">
        <x:v>https://m.blog.naver.com/sntu2010/221794649495</x:v>
      </x:c>
      <x:c r="P429" s="112" t="str">
        <x:v>예</x:v>
      </x:c>
      <x:c r="Q429" s="113" t="str">
        <x:v>자동 분류·표본 검토 대상</x:v>
      </x:c>
    </x:row>
    <x:row r="430">
      <x:c r="A430" s="100" t="n">
        <x:v>429</x:v>
      </x:c>
      <x:c r="B430" s="101" t="n">
        <x:v>43864</x:v>
      </x:c>
      <x:c r="C430" s="102" t="n">
        <x:v>2020</x:v>
      </x:c>
      <x:c r="D430" s="103" t="str">
        <x:v>ID-221794617392</x:v>
      </x:c>
      <x:c r="E430" s="112" t="str">
        <x:v>[펌]살아남는 지망생과 사라지는 지망생의 차이점</x:v>
      </x:c>
      <x:c r="F430" s="112" t="str">
        <x:v>웹소작법</x:v>
      </x:c>
      <x:c r="G430" s="112" t="str">
        <x:v>웹소설 직접</x:v>
      </x:c>
      <x:c r="H430" s="112" t="str">
        <x:v>작법·상업성</x:v>
      </x:c>
      <x:c r="I430" s="112" t="n">
        <x:v>4</x:v>
      </x:c>
      <x:c r="J430" s="112" t="str">
        <x:v>장르, 소재, 설정, 작법</x:v>
      </x:c>
      <x:c r="K430" s="112" t="str">
        <x:v>재게시</x:v>
      </x:c>
      <x:c r="L430" s="112" t="str">
        <x:v>높음</x:v>
      </x:c>
      <x:c r="M430" s="112" t="str">
        <x:v>제목의 펌/퍼옴 표시</x:v>
      </x:c>
      <x:c r="N430" s="116" t="str">
        <x:v>https://gall.dcinside.com/mgallery/board/view/?id=tgijjdd&amp;no=262904&amp;page=1</x:v>
      </x:c>
      <x:c r="O430" s="116" t="str">
        <x:v>https://m.blog.naver.com/sntu2010/221794617392</x:v>
      </x:c>
      <x:c r="P430" s="112" t="str">
        <x:v>아니오</x:v>
      </x:c>
      <x:c r="Q430" s="113" t="str">
        <x:v>자동 분류·표본 검토 대상</x:v>
      </x:c>
    </x:row>
    <x:row r="431">
      <x:c r="A431" s="100" t="n">
        <x:v>430</x:v>
      </x:c>
      <x:c r="B431" s="101" t="n">
        <x:v>43857</x:v>
      </x:c>
      <x:c r="C431" s="102" t="n">
        <x:v>2020</x:v>
      </x:c>
      <x:c r="D431" s="103" t="str">
        <x:v>ID-221786488348</x:v>
      </x:c>
      <x:c r="E431" s="112" t="str">
        <x:v>한컴 모바일 사이즈 조판 양식</x:v>
      </x:c>
      <x:c r="F431" s="112" t="str">
        <x:v>웹소생각</x:v>
      </x:c>
      <x:c r="G431" s="112" t="str">
        <x:v>웹소설 직접</x:v>
      </x:c>
      <x:c r="H431" s="112" t="str">
        <x:v>작법·상업성</x:v>
      </x:c>
      <x:c r="I431" s="112" t="n">
        <x:v>2</x:v>
      </x:c>
      <x:c r="J431" s="112" t="str">
        <x:v>문장, 독자</x:v>
      </x:c>
      <x:c r="K431" s="112" t="str">
        <x:v>본인 작성/의견 추정</x:v>
      </x:c>
      <x:c r="L431" s="112" t="str">
        <x:v>낮음</x:v>
      </x:c>
      <x:c r="M431" s="112" t="str">
        <x:v>재게시 표시는 없으나 저자성 직접 증거 부족</x:v>
      </x:c>
      <x:c r="N431" s="116" t="str"/>
      <x:c r="O431" s="116" t="str">
        <x:v>https://m.blog.naver.com/sntu2010/221786488348</x:v>
      </x:c>
      <x:c r="P431" s="112" t="str">
        <x:v>아니오</x:v>
      </x:c>
      <x:c r="Q431" s="113" t="str">
        <x:v>수동 검토 필요</x:v>
      </x:c>
    </x:row>
    <x:row r="432">
      <x:c r="A432" s="100" t="n">
        <x:v>431</x:v>
      </x:c>
      <x:c r="B432" s="101" t="n">
        <x:v>43857</x:v>
      </x:c>
      <x:c r="C432" s="102" t="n">
        <x:v>2020</x:v>
      </x:c>
      <x:c r="D432" s="103" t="str">
        <x:v>ID-221786475670</x:v>
      </x:c>
      <x:c r="E432" s="112" t="str">
        <x:v>[펌]카카오 올인하는 넘들은 제발 판형좀 바꿔써라</x:v>
      </x:c>
      <x:c r="F432" s="112" t="str">
        <x:v>웹소작법</x:v>
      </x:c>
      <x:c r="G432" s="112" t="str">
        <x:v>웹소설 직접</x:v>
      </x:c>
      <x:c r="H432" s="112" t="str">
        <x:v>플랫폼·투고·계약</x:v>
      </x:c>
      <x:c r="I432" s="112" t="n">
        <x:v>20</x:v>
      </x:c>
      <x:c r="J432" s="112" t="str">
        <x:v>카카오</x:v>
      </x:c>
      <x:c r="K432" s="112" t="str">
        <x:v>재게시</x:v>
      </x:c>
      <x:c r="L432" s="112" t="str">
        <x:v>높음</x:v>
      </x:c>
      <x:c r="M432" s="112" t="str">
        <x:v>제목의 펌/퍼옴 표시</x:v>
      </x:c>
      <x:c r="N432" s="116" t="str">
        <x:v>https://gall.dcinside.com/mgallery/board/view/?id=tgijjdd&amp;no=249501&amp;exception_mode=recommend&amp;page=3</x:v>
      </x:c>
      <x:c r="O432" s="116" t="str">
        <x:v>https://m.blog.naver.com/sntu2010/221786475670</x:v>
      </x:c>
      <x:c r="P432" s="112" t="str">
        <x:v>예</x:v>
      </x:c>
      <x:c r="Q432" s="113" t="str">
        <x:v>자동 분류·표본 검토 대상</x:v>
      </x:c>
    </x:row>
    <x:row r="433">
      <x:c r="A433" s="100" t="n">
        <x:v>432</x:v>
      </x:c>
      <x:c r="B433" s="101" t="n">
        <x:v>43855</x:v>
      </x:c>
      <x:c r="C433" s="102" t="n">
        <x:v>2020</x:v>
      </x:c>
      <x:c r="D433" s="103" t="str">
        <x:v>ID-221785134639</x:v>
      </x:c>
      <x:c r="E433" s="112" t="str">
        <x:v>[펌]기다무 연재 후기 + 팁</x:v>
      </x:c>
      <x:c r="F433" s="112" t="str">
        <x:v>웹소작법</x:v>
      </x:c>
      <x:c r="G433" s="112" t="str">
        <x:v>웹소설 직접</x:v>
      </x:c>
      <x:c r="H433" s="112" t="str">
        <x:v>초반부/연독률</x:v>
      </x:c>
      <x:c r="I433" s="112" t="n">
        <x:v>6</x:v>
      </x:c>
      <x:c r="J433" s="112" t="str">
        <x:v>20화, 5화, 조회수, 초반</x:v>
      </x:c>
      <x:c r="K433" s="112" t="str">
        <x:v>재게시</x:v>
      </x:c>
      <x:c r="L433" s="112" t="str">
        <x:v>높음</x:v>
      </x:c>
      <x:c r="M433" s="112" t="str">
        <x:v>제목의 펌/퍼옴 표시</x:v>
      </x:c>
      <x:c r="N433" s="116" t="str">
        <x:v>https://gall.dcinside.com/mgallery/board/view/?id=tgijjdd&amp;no=258217&amp;exception_mode=recommend&amp;page=1</x:v>
      </x:c>
      <x:c r="O433" s="116" t="str">
        <x:v>https://m.blog.naver.com/sntu2010/221785134639</x:v>
      </x:c>
      <x:c r="P433" s="112" t="str">
        <x:v>예</x:v>
      </x:c>
      <x:c r="Q433" s="113" t="str">
        <x:v>자동 분류·표본 검토 대상</x:v>
      </x:c>
    </x:row>
    <x:row r="434">
      <x:c r="A434" s="100" t="n">
        <x:v>433</x:v>
      </x:c>
      <x:c r="B434" s="101" t="n">
        <x:v>43853</x:v>
      </x:c>
      <x:c r="C434" s="102" t="n">
        <x:v>2020</x:v>
      </x:c>
      <x:c r="D434" s="103" t="str">
        <x:v>ID-221783019550</x:v>
      </x:c>
      <x:c r="E434" s="112" t="str">
        <x:v>소설을 어떻게 기획하는지 궁금합니다</x:v>
      </x:c>
      <x:c r="F434" s="112" t="str">
        <x:v>웹소생각</x:v>
      </x:c>
      <x:c r="G434" s="112" t="str">
        <x:v>웹소설 직접</x:v>
      </x:c>
      <x:c r="H434" s="112" t="str">
        <x:v>작법·상업성</x:v>
      </x:c>
      <x:c r="I434" s="112" t="n">
        <x:v>8</x:v>
      </x:c>
      <x:c r="J434" s="112" t="str">
        <x:v>소재, 독자, 기대감</x:v>
      </x:c>
      <x:c r="K434" s="112" t="str">
        <x:v>본인 작성/의견 추정</x:v>
      </x:c>
      <x:c r="L434" s="112" t="str">
        <x:v>낮음</x:v>
      </x:c>
      <x:c r="M434" s="112" t="str">
        <x:v>재게시 표시는 없으나 저자성 직접 증거 부족</x:v>
      </x:c>
      <x:c r="N434" s="116" t="str"/>
      <x:c r="O434" s="116" t="str">
        <x:v>https://m.blog.naver.com/sntu2010/221783019550</x:v>
      </x:c>
      <x:c r="P434" s="112" t="str">
        <x:v>예</x:v>
      </x:c>
      <x:c r="Q434" s="113" t="str">
        <x:v>자동 분류·표본 검토 대상</x:v>
      </x:c>
    </x:row>
    <x:row r="435">
      <x:c r="A435" s="100" t="n">
        <x:v>434</x:v>
      </x:c>
      <x:c r="B435" s="101" t="n">
        <x:v>43851</x:v>
      </x:c>
      <x:c r="C435" s="102" t="n">
        <x:v>2020</x:v>
      </x:c>
      <x:c r="D435" s="103" t="str">
        <x:v>ID-221781131595</x:v>
      </x:c>
      <x:c r="E435" s="112" t="str">
        <x:v>신작을 쓰면서 드는 생각</x:v>
      </x:c>
      <x:c r="F435" s="112" t="str">
        <x:v>웹소생각</x:v>
      </x:c>
      <x:c r="G435" s="112" t="str">
        <x:v>웹소설 직접</x:v>
      </x:c>
      <x:c r="H435" s="112" t="str">
        <x:v>캐릭터·전개</x:v>
      </x:c>
      <x:c r="I435" s="112" t="n">
        <x:v>8</x:v>
      </x:c>
      <x:c r="J435" s="112" t="str">
        <x:v>플롯, 캐릭터, 인물, 전개</x:v>
      </x:c>
      <x:c r="K435" s="112" t="str">
        <x:v>본인 작성/의견 추정</x:v>
      </x:c>
      <x:c r="L435" s="112" t="str">
        <x:v>낮음</x:v>
      </x:c>
      <x:c r="M435" s="112" t="str">
        <x:v>재게시 표시는 없으나 저자성 직접 증거 부족</x:v>
      </x:c>
      <x:c r="N435" s="116" t="str"/>
      <x:c r="O435" s="116" t="str">
        <x:v>https://m.blog.naver.com/sntu2010/221781131595</x:v>
      </x:c>
      <x:c r="P435" s="112" t="str">
        <x:v>예</x:v>
      </x:c>
      <x:c r="Q435" s="113" t="str">
        <x:v>자동 분류·표본 검토 대상</x:v>
      </x:c>
    </x:row>
    <x:row r="436">
      <x:c r="A436" s="100" t="n">
        <x:v>435</x:v>
      </x:c>
      <x:c r="B436" s="101" t="n">
        <x:v>43847</x:v>
      </x:c>
      <x:c r="C436" s="102" t="n">
        <x:v>2020</x:v>
      </x:c>
      <x:c r="D436" s="103" t="str">
        <x:v>ID-221775756363</x:v>
      </x:c>
      <x:c r="E436" s="112" t="str">
        <x:v>[펌]연독도 중요하지만, 24시간 조회수를 더 신경쓰는 게 좋다</x:v>
      </x:c>
      <x:c r="F436" s="112" t="str">
        <x:v>웹소작법</x:v>
      </x:c>
      <x:c r="G436" s="112" t="str">
        <x:v>웹소설 직접</x:v>
      </x:c>
      <x:c r="H436" s="112" t="str">
        <x:v>초반부/연독률</x:v>
      </x:c>
      <x:c r="I436" s="112" t="n">
        <x:v>48</x:v>
      </x:c>
      <x:c r="J436" s="112" t="str">
        <x:v>연독, 조회수, 유료화</x:v>
      </x:c>
      <x:c r="K436" s="112" t="str">
        <x:v>재게시</x:v>
      </x:c>
      <x:c r="L436" s="112" t="str">
        <x:v>높음</x:v>
      </x:c>
      <x:c r="M436" s="112" t="str">
        <x:v>제목의 펌/퍼옴 표시</x:v>
      </x:c>
      <x:c r="N436" s="116" t="str">
        <x:v>https://gall.dcinside.com/mgallery/board/view/?id=tgijjdd&amp;no=253827&amp;page=1</x:v>
      </x:c>
      <x:c r="O436" s="116" t="str">
        <x:v>https://m.blog.naver.com/sntu2010/221775756363</x:v>
      </x:c>
      <x:c r="P436" s="112" t="str">
        <x:v>예</x:v>
      </x:c>
      <x:c r="Q436" s="113" t="str">
        <x:v>자동 분류·표본 검토 대상</x:v>
      </x:c>
    </x:row>
    <x:row r="437">
      <x:c r="A437" s="100" t="n">
        <x:v>436</x:v>
      </x:c>
      <x:c r="B437" s="101" t="n">
        <x:v>43847</x:v>
      </x:c>
      <x:c r="C437" s="102" t="n">
        <x:v>2020</x:v>
      </x:c>
      <x:c r="D437" s="103" t="str">
        <x:v>ID-221775294842</x:v>
      </x:c>
      <x:c r="E437" s="112" t="str">
        <x:v>[펌]난 독자인데 3개만 고치라고 하고 싶음</x:v>
      </x:c>
      <x:c r="F437" s="112" t="str">
        <x:v>웹소작법</x:v>
      </x:c>
      <x:c r="G437" s="112" t="str">
        <x:v>웹소설 직접</x:v>
      </x:c>
      <x:c r="H437" s="112" t="str">
        <x:v>작법·상업성</x:v>
      </x:c>
      <x:c r="I437" s="112" t="n">
        <x:v>22</x:v>
      </x:c>
      <x:c r="J437" s="112" t="str">
        <x:v>독자, 설정, 작법</x:v>
      </x:c>
      <x:c r="K437" s="112" t="str">
        <x:v>재게시</x:v>
      </x:c>
      <x:c r="L437" s="112" t="str">
        <x:v>높음</x:v>
      </x:c>
      <x:c r="M437" s="112" t="str">
        <x:v>제목의 펌/퍼옴 표시</x:v>
      </x:c>
      <x:c r="N437" s="116" t="str">
        <x:v>https://gall.dcinside.com/mgallery/board/view/?id=tgijjdd&amp;no=252844&amp;exception_mode=recommend&amp;page=1</x:v>
      </x:c>
      <x:c r="O437" s="116" t="str">
        <x:v>https://m.blog.naver.com/sntu2010/221775294842</x:v>
      </x:c>
      <x:c r="P437" s="112" t="str">
        <x:v>예</x:v>
      </x:c>
      <x:c r="Q437" s="113" t="str">
        <x:v>자동 분류·표본 검토 대상</x:v>
      </x:c>
    </x:row>
    <x:row r="438">
      <x:c r="A438" s="100" t="n">
        <x:v>437</x:v>
      </x:c>
      <x:c r="B438" s="101" t="n">
        <x:v>43846</x:v>
      </x:c>
      <x:c r="C438" s="102" t="n">
        <x:v>2020</x:v>
      </x:c>
      <x:c r="D438" s="103" t="str">
        <x:v>ID-221773654223</x:v>
      </x:c>
      <x:c r="E438" s="112" t="str">
        <x:v>작가 편의주의와 개연성</x:v>
      </x:c>
      <x:c r="F438" s="112" t="str">
        <x:v>웹소생각</x:v>
      </x:c>
      <x:c r="G438" s="112" t="str">
        <x:v>웹소설 직접</x:v>
      </x:c>
      <x:c r="H438" s="112" t="str">
        <x:v>캐릭터·전개</x:v>
      </x:c>
      <x:c r="I438" s="112" t="n">
        <x:v>3</x:v>
      </x:c>
      <x:c r="J438" s="112" t="str">
        <x:v>주인공</x:v>
      </x:c>
      <x:c r="K438" s="112" t="str">
        <x:v>본인 작성/의견 추정</x:v>
      </x:c>
      <x:c r="L438" s="112" t="str">
        <x:v>낮음</x:v>
      </x:c>
      <x:c r="M438" s="112" t="str">
        <x:v>재게시 표시는 없으나 저자성 직접 증거 부족</x:v>
      </x:c>
      <x:c r="N438" s="116" t="str"/>
      <x:c r="O438" s="116" t="str">
        <x:v>https://m.blog.naver.com/sntu2010/221773654223</x:v>
      </x:c>
      <x:c r="P438" s="112" t="str">
        <x:v>아니오</x:v>
      </x:c>
      <x:c r="Q438" s="113" t="str">
        <x:v>자동 분류·표본 검토 대상</x:v>
      </x:c>
    </x:row>
    <x:row r="439">
      <x:c r="A439" s="100" t="n">
        <x:v>438</x:v>
      </x:c>
      <x:c r="B439" s="101" t="n">
        <x:v>43845</x:v>
      </x:c>
      <x:c r="C439" s="102" t="n">
        <x:v>2020</x:v>
      </x:c>
      <x:c r="D439" s="103" t="str">
        <x:v>ID-221773330440</x:v>
      </x:c>
      <x:c r="E439" s="112" t="str">
        <x:v>[펌]문피아에서 히로인으로 욕 안먹는 팁 뿌린다</x:v>
      </x:c>
      <x:c r="F439" s="112" t="str">
        <x:v>웹소작법</x:v>
      </x:c>
      <x:c r="G439" s="112" t="str">
        <x:v>웹소설 직접</x:v>
      </x:c>
      <x:c r="H439" s="112" t="str">
        <x:v>캐릭터·전개</x:v>
      </x:c>
      <x:c r="I439" s="112" t="n">
        <x:v>28</x:v>
      </x:c>
      <x:c r="J439" s="112" t="str">
        <x:v>히로인, 주인공</x:v>
      </x:c>
      <x:c r="K439" s="112" t="str">
        <x:v>재게시</x:v>
      </x:c>
      <x:c r="L439" s="112" t="str">
        <x:v>높음</x:v>
      </x:c>
      <x:c r="M439" s="112" t="str">
        <x:v>제목의 펌/퍼옴 표시</x:v>
      </x:c>
      <x:c r="N439" s="116" t="str">
        <x:v>https://gall.dcinside.com/mgallery/board/view/?id=tgijjdd&amp;no=252678&amp;s_type=search_all&amp;s_keyword=%ED%9E%88%EB%A1%9C%EC%9D%B8&amp;page=1</x:v>
      </x:c>
      <x:c r="O439" s="116" t="str">
        <x:v>https://m.blog.naver.com/sntu2010/221773330440</x:v>
      </x:c>
      <x:c r="P439" s="112" t="str">
        <x:v>예</x:v>
      </x:c>
      <x:c r="Q439" s="113" t="str">
        <x:v>자동 분류·표본 검토 대상</x:v>
      </x:c>
    </x:row>
    <x:row r="440">
      <x:c r="A440" s="100" t="n">
        <x:v>439</x:v>
      </x:c>
      <x:c r="B440" s="101" t="n">
        <x:v>43841</x:v>
      </x:c>
      <x:c r="C440" s="102" t="n">
        <x:v>2020</x:v>
      </x:c>
      <x:c r="D440" s="103" t="str">
        <x:v>ID-221768303489</x:v>
      </x:c>
      <x:c r="E440" s="112" t="str">
        <x:v>[펌]글 빨리 쓰는 방법</x:v>
      </x:c>
      <x:c r="F440" s="112" t="str">
        <x:v>웹소작법</x:v>
      </x:c>
      <x:c r="G440" s="112" t="str">
        <x:v>웹소설 직접</x:v>
      </x:c>
      <x:c r="H440" s="112" t="str">
        <x:v>작법·상업성</x:v>
      </x:c>
      <x:c r="I440" s="112" t="n">
        <x:v>5</x:v>
      </x:c>
      <x:c r="J440" s="112" t="str">
        <x:v>문장, 묘사, 독자, 작법</x:v>
      </x:c>
      <x:c r="K440" s="112" t="str">
        <x:v>재게시</x:v>
      </x:c>
      <x:c r="L440" s="112" t="str">
        <x:v>높음</x:v>
      </x:c>
      <x:c r="M440" s="112" t="str">
        <x:v>제목의 펌/퍼옴 표시</x:v>
      </x:c>
      <x:c r="N440" s="116" t="str">
        <x:v>https://gall.dcinside.com/mgallery/board/view/?id=tgijjdd&amp;no=250805&amp;page=1</x:v>
      </x:c>
      <x:c r="O440" s="116" t="str">
        <x:v>https://m.blog.naver.com/sntu2010/221768303489</x:v>
      </x:c>
      <x:c r="P440" s="112" t="str">
        <x:v>아니오</x:v>
      </x:c>
      <x:c r="Q440" s="113" t="str">
        <x:v>자동 분류·표본 검토 대상</x:v>
      </x:c>
    </x:row>
    <x:row r="441">
      <x:c r="A441" s="100" t="n">
        <x:v>440</x:v>
      </x:c>
      <x:c r="B441" s="101" t="n">
        <x:v>43840</x:v>
      </x:c>
      <x:c r="C441" s="102" t="n">
        <x:v>2020</x:v>
      </x:c>
      <x:c r="D441" s="103" t="str">
        <x:v>ID-221766710116</x:v>
      </x:c>
      <x:c r="E441" s="112" t="str">
        <x:v>[펌]스토리 진행이 막힐 때 도움 된 것</x:v>
      </x:c>
      <x:c r="F441" s="112" t="str">
        <x:v>웹소작법</x:v>
      </x:c>
      <x:c r="G441" s="112" t="str">
        <x:v>웹소설 직접</x:v>
      </x:c>
      <x:c r="H441" s="112" t="str">
        <x:v>캐릭터·전개</x:v>
      </x:c>
      <x:c r="I441" s="112" t="n">
        <x:v>1</x:v>
      </x:c>
      <x:c r="J441" s="112" t="str">
        <x:v>사건</x:v>
      </x:c>
      <x:c r="K441" s="112" t="str">
        <x:v>재게시</x:v>
      </x:c>
      <x:c r="L441" s="112" t="str">
        <x:v>높음</x:v>
      </x:c>
      <x:c r="M441" s="112" t="str">
        <x:v>제목의 펌/퍼옴 표시</x:v>
      </x:c>
      <x:c r="N441" s="116" t="str">
        <x:v>https://gall.dcinside.com/mgallery/board/view/?id=tgijjdd&amp;no=243120&amp;s_type=search_all&amp;s_keyword=%EC%8A%A4%ED%86%A0%EB%A6%AC+%EC%A7%84%ED%96%89%EC%9D%B4+%EB%A7%89%ED%9E%90+%EB%95%8C+%EB%8F%84%EC%9B%80&amp;page=1</x:v>
      </x:c>
      <x:c r="O441" s="116" t="str">
        <x:v>https://m.blog.naver.com/sntu2010/221766710116</x:v>
      </x:c>
      <x:c r="P441" s="112" t="str">
        <x:v>아니오</x:v>
      </x:c>
      <x:c r="Q441" s="113" t="str">
        <x:v>자동 분류·표본 검토 대상</x:v>
      </x:c>
    </x:row>
    <x:row r="442">
      <x:c r="A442" s="100" t="n">
        <x:v>441</x:v>
      </x:c>
      <x:c r="B442" s="101" t="n">
        <x:v>43840</x:v>
      </x:c>
      <x:c r="C442" s="102" t="n">
        <x:v>2020</x:v>
      </x:c>
      <x:c r="D442" s="103" t="str">
        <x:v>ID-221766707096</x:v>
      </x:c>
      <x:c r="E442" s="112" t="str">
        <x:v>[펌]카카오 웹소설 기무루트 장단점에 대해서</x:v>
      </x:c>
      <x:c r="F442" s="112" t="str">
        <x:v>웹소작법</x:v>
      </x:c>
      <x:c r="G442" s="112" t="str">
        <x:v>웹소설 직접</x:v>
      </x:c>
      <x:c r="H442" s="112" t="str">
        <x:v>플랫폼·투고·계약</x:v>
      </x:c>
      <x:c r="I442" s="112" t="n">
        <x:v>48</x:v>
      </x:c>
      <x:c r="J442" s="112" t="str">
        <x:v>카카오, 기무, 기다리면 무료, 매니지</x:v>
      </x:c>
      <x:c r="K442" s="112" t="str">
        <x:v>재게시</x:v>
      </x:c>
      <x:c r="L442" s="112" t="str">
        <x:v>높음</x:v>
      </x:c>
      <x:c r="M442" s="112" t="str">
        <x:v>제목의 펌/퍼옴 표시</x:v>
      </x:c>
      <x:c r="N442" s="116" t="str">
        <x:v>https://gall.dcinside.com/mgallery/board/view/?id=tgijjdd&amp;no=249869&amp;exception_mode=recommend&amp;page=1</x:v>
      </x:c>
      <x:c r="O442" s="116" t="str">
        <x:v>https://m.blog.naver.com/sntu2010/221766707096</x:v>
      </x:c>
      <x:c r="P442" s="112" t="str">
        <x:v>예</x:v>
      </x:c>
      <x:c r="Q442" s="113" t="str">
        <x:v>자동 분류·표본 검토 대상</x:v>
      </x:c>
    </x:row>
    <x:row r="443">
      <x:c r="A443" s="100" t="n">
        <x:v>442</x:v>
      </x:c>
      <x:c r="B443" s="101" t="n">
        <x:v>43840</x:v>
      </x:c>
      <x:c r="C443" s="102" t="n">
        <x:v>2020</x:v>
      </x:c>
      <x:c r="D443" s="103" t="str">
        <x:v>ID-221766704772</x:v>
      </x:c>
      <x:c r="E443" s="112" t="str">
        <x:v>[펌]그냥 계속 쓰다보면 언젠가는 뜬다</x:v>
      </x:c>
      <x:c r="F443" s="112" t="str">
        <x:v>웹소작법</x:v>
      </x:c>
      <x:c r="G443" s="112" t="str">
        <x:v>웹소설 직접</x:v>
      </x:c>
      <x:c r="H443" s="112" t="str">
        <x:v>작법·상업성</x:v>
      </x:c>
      <x:c r="I443" s="112" t="n">
        <x:v>5</x:v>
      </x:c>
      <x:c r="J443" s="112" t="str">
        <x:v>고구마, 사이다, 작법</x:v>
      </x:c>
      <x:c r="K443" s="112" t="str">
        <x:v>재게시</x:v>
      </x:c>
      <x:c r="L443" s="112" t="str">
        <x:v>높음</x:v>
      </x:c>
      <x:c r="M443" s="112" t="str">
        <x:v>제목의 펌/퍼옴 표시</x:v>
      </x:c>
      <x:c r="N443" s="116" t="str">
        <x:v>https://gall.dcinside.com/mgallery/board/view/?id=tgijjdd&amp;no=249454&amp;exception_mode=recommend&amp;page=1</x:v>
      </x:c>
      <x:c r="O443" s="116" t="str">
        <x:v>https://m.blog.naver.com/sntu2010/221766704772</x:v>
      </x:c>
      <x:c r="P443" s="112" t="str">
        <x:v>아니오</x:v>
      </x:c>
      <x:c r="Q443" s="113" t="str">
        <x:v>자동 분류·표본 검토 대상</x:v>
      </x:c>
    </x:row>
    <x:row r="444">
      <x:c r="A444" s="100" t="n">
        <x:v>443</x:v>
      </x:c>
      <x:c r="B444" s="101" t="n">
        <x:v>43840</x:v>
      </x:c>
      <x:c r="C444" s="102" t="n">
        <x:v>2020</x:v>
      </x:c>
      <x:c r="D444" s="103" t="str">
        <x:v>ID-221766702857</x:v>
      </x:c>
      <x:c r="E444" s="112" t="str">
        <x:v>[펌]망생이 글을 빨리, 많이, 자알 못 쓰는 이유!</x:v>
      </x:c>
      <x:c r="F444" s="112" t="str">
        <x:v>웹소작법</x:v>
      </x:c>
      <x:c r="G444" s="112" t="str">
        <x:v>웹소설 직접</x:v>
      </x:c>
      <x:c r="H444" s="112" t="str">
        <x:v>플랫폼·투고·계약</x:v>
      </x:c>
      <x:c r="I444" s="112" t="n">
        <x:v>8</x:v>
      </x:c>
      <x:c r="J444" s="112" t="str">
        <x:v>출판사, 매니지, 플랫폼, 네이버</x:v>
      </x:c>
      <x:c r="K444" s="112" t="str">
        <x:v>재게시</x:v>
      </x:c>
      <x:c r="L444" s="112" t="str">
        <x:v>높음</x:v>
      </x:c>
      <x:c r="M444" s="112" t="str">
        <x:v>제목의 펌/퍼옴 표시</x:v>
      </x:c>
      <x:c r="N444" s="116" t="str">
        <x:v>https://gall.dcinside.com/mgallery/board/view/?id=tgijjdd&amp;no=249303&amp;exception_mode=recommend&amp;page=1</x:v>
      </x:c>
      <x:c r="O444" s="116" t="str">
        <x:v>https://m.blog.naver.com/sntu2010/221766702857</x:v>
      </x:c>
      <x:c r="P444" s="112" t="str">
        <x:v>예</x:v>
      </x:c>
      <x:c r="Q444" s="113" t="str">
        <x:v>자동 분류·표본 검토 대상</x:v>
      </x:c>
    </x:row>
    <x:row r="445">
      <x:c r="A445" s="100" t="n">
        <x:v>444</x:v>
      </x:c>
      <x:c r="B445" s="101" t="n">
        <x:v>43838</x:v>
      </x:c>
      <x:c r="C445" s="102" t="n">
        <x:v>2020</x:v>
      </x:c>
      <x:c r="D445" s="103" t="str">
        <x:v>ID-221763891521</x:v>
      </x:c>
      <x:c r="E445" s="112" t="str">
        <x:v>[펌]문피아 월 수입 천만원 커트 라인</x:v>
      </x:c>
      <x:c r="F445" s="112" t="str">
        <x:v>웹소작법</x:v>
      </x:c>
      <x:c r="G445" s="112" t="str">
        <x:v>웹소설 직접</x:v>
      </x:c>
      <x:c r="H445" s="112" t="str">
        <x:v>수익·운영</x:v>
      </x:c>
      <x:c r="I445" s="112" t="n">
        <x:v>26</x:v>
      </x:c>
      <x:c r="J445" s="112" t="str">
        <x:v>수입, 수익, 정산, 연참, 매출</x:v>
      </x:c>
      <x:c r="K445" s="112" t="str">
        <x:v>재게시</x:v>
      </x:c>
      <x:c r="L445" s="112" t="str">
        <x:v>높음</x:v>
      </x:c>
      <x:c r="M445" s="112" t="str">
        <x:v>제목의 펌/퍼옴 표시</x:v>
      </x:c>
      <x:c r="N445" s="116" t="str">
        <x:v>https://gall.dcinside.com/mgallery/board/view/?id=tgijjdd&amp;no=248696&amp;exception_mode=recommend&amp;page=1</x:v>
      </x:c>
      <x:c r="O445" s="116" t="str">
        <x:v>https://m.blog.naver.com/sntu2010/221763891521</x:v>
      </x:c>
      <x:c r="P445" s="112" t="str">
        <x:v>예</x:v>
      </x:c>
      <x:c r="Q445" s="113" t="str">
        <x:v>자동 분류·표본 검토 대상</x:v>
      </x:c>
    </x:row>
    <x:row r="446">
      <x:c r="A446" s="100" t="n">
        <x:v>445</x:v>
      </x:c>
      <x:c r="B446" s="101" t="n">
        <x:v>43838</x:v>
      </x:c>
      <x:c r="C446" s="102" t="n">
        <x:v>2020</x:v>
      </x:c>
      <x:c r="D446" s="103" t="str">
        <x:v>ID-221763886502</x:v>
      </x:c>
      <x:c r="E446" s="112" t="str">
        <x:v>[펌]수입에 환상있는 망생이들한테 정확하게 딱 알려준다</x:v>
      </x:c>
      <x:c r="F446" s="112" t="str">
        <x:v>웹소작법</x:v>
      </x:c>
      <x:c r="G446" s="112" t="str">
        <x:v>웹소설 직접</x:v>
      </x:c>
      <x:c r="H446" s="112" t="str">
        <x:v>수익·운영</x:v>
      </x:c>
      <x:c r="I446" s="112" t="n">
        <x:v>23</x:v>
      </x:c>
      <x:c r="J446" s="112" t="str">
        <x:v>수입, 매출, 정산</x:v>
      </x:c>
      <x:c r="K446" s="112" t="str">
        <x:v>재게시</x:v>
      </x:c>
      <x:c r="L446" s="112" t="str">
        <x:v>높음</x:v>
      </x:c>
      <x:c r="M446" s="112" t="str">
        <x:v>제목의 펌/퍼옴 표시</x:v>
      </x:c>
      <x:c r="N446" s="116" t="str">
        <x:v>https://gall.dcinside.com/mgallery/board/view/?id=tgijjdd&amp;no=248658&amp;exception_mode=recommend&amp;page=1</x:v>
      </x:c>
      <x:c r="O446" s="116" t="str">
        <x:v>https://m.blog.naver.com/sntu2010/221763886502</x:v>
      </x:c>
      <x:c r="P446" s="112" t="str">
        <x:v>예</x:v>
      </x:c>
      <x:c r="Q446" s="113" t="str">
        <x:v>자동 분류·표본 검토 대상</x:v>
      </x:c>
    </x:row>
    <x:row r="447">
      <x:c r="A447" s="100" t="n">
        <x:v>446</x:v>
      </x:c>
      <x:c r="B447" s="101" t="n">
        <x:v>43838</x:v>
      </x:c>
      <x:c r="C447" s="102" t="n">
        <x:v>2020</x:v>
      </x:c>
      <x:c r="D447" s="103" t="str">
        <x:v>ID-221763872685</x:v>
      </x:c>
      <x:c r="E447" s="112" t="str">
        <x:v>[펌]자신이 명작병 걸렸는지 테스트해보기.test</x:v>
      </x:c>
      <x:c r="F447" s="112" t="str">
        <x:v>웹소작법</x:v>
      </x:c>
      <x:c r="G447" s="112" t="str">
        <x:v>웹소설 직접</x:v>
      </x:c>
      <x:c r="H447" s="112" t="str">
        <x:v>작법·상업성</x:v>
      </x:c>
      <x:c r="I447" s="112" t="n">
        <x:v>7</x:v>
      </x:c>
      <x:c r="J447" s="112" t="str">
        <x:v>제목, 설정, 작법</x:v>
      </x:c>
      <x:c r="K447" s="112" t="str">
        <x:v>재게시</x:v>
      </x:c>
      <x:c r="L447" s="112" t="str">
        <x:v>높음</x:v>
      </x:c>
      <x:c r="M447" s="112" t="str">
        <x:v>제목의 펌/퍼옴 표시</x:v>
      </x:c>
      <x:c r="N447" s="116" t="str">
        <x:v>https://gall.dcinside.com/mgallery/board/view/?id=tgijjdd&amp;no=247015&amp;s_type=search_all&amp;s_keyword=%EB%AA%85%EC%9E%91%EB%B3%91&amp;page=1</x:v>
      </x:c>
      <x:c r="O447" s="116" t="str">
        <x:v>https://m.blog.naver.com/sntu2010/221763872685</x:v>
      </x:c>
      <x:c r="P447" s="112" t="str">
        <x:v>예</x:v>
      </x:c>
      <x:c r="Q447" s="113" t="str">
        <x:v>자동 분류·표본 검토 대상</x:v>
      </x:c>
    </x:row>
    <x:row r="448">
      <x:c r="A448" s="100" t="n">
        <x:v>447</x:v>
      </x:c>
      <x:c r="B448" s="101" t="n">
        <x:v>43838</x:v>
      </x:c>
      <x:c r="C448" s="102" t="n">
        <x:v>2020</x:v>
      </x:c>
      <x:c r="D448" s="103" t="str">
        <x:v>ID-221763858939</x:v>
      </x:c>
      <x:c r="E448" s="112" t="str">
        <x:v>[펌]작가 지망생들은 죄책감을 벗어나야해</x:v>
      </x:c>
      <x:c r="F448" s="112" t="str">
        <x:v>웹소작법</x:v>
      </x:c>
      <x:c r="G448" s="112" t="str">
        <x:v>웹소설 직접</x:v>
      </x:c>
      <x:c r="H448" s="112" t="str">
        <x:v>수익·운영</x:v>
      </x:c>
      <x:c r="I448" s="112" t="n">
        <x:v>5</x:v>
      </x:c>
      <x:c r="J448" s="112" t="str">
        <x:v>멘탈</x:v>
      </x:c>
      <x:c r="K448" s="112" t="str">
        <x:v>재게시</x:v>
      </x:c>
      <x:c r="L448" s="112" t="str">
        <x:v>높음</x:v>
      </x:c>
      <x:c r="M448" s="112" t="str">
        <x:v>제목의 펌/퍼옴 표시</x:v>
      </x:c>
      <x:c r="N448" s="116" t="str">
        <x:v>https://gall.dcinside.com/mgallery/board/view/?id=tgijjdd&amp;no=237457&amp;page=1</x:v>
      </x:c>
      <x:c r="O448" s="116" t="str">
        <x:v>https://m.blog.naver.com/sntu2010/221763858939</x:v>
      </x:c>
      <x:c r="P448" s="112" t="str">
        <x:v>아니오</x:v>
      </x:c>
      <x:c r="Q448" s="113" t="str">
        <x:v>자동 분류·표본 검토 대상</x:v>
      </x:c>
    </x:row>
    <x:row r="449">
      <x:c r="A449" s="100" t="n">
        <x:v>448</x:v>
      </x:c>
      <x:c r="B449" s="101" t="n">
        <x:v>43819</x:v>
      </x:c>
      <x:c r="C449" s="102" t="n">
        <x:v>2019</x:v>
      </x:c>
      <x:c r="D449" s="103" t="str">
        <x:v>ID-221743828829</x:v>
      </x:c>
      <x:c r="E449" s="112" t="str">
        <x:v>[펌]유명 작가들 분석하며 느낀 점</x:v>
      </x:c>
      <x:c r="F449" s="112" t="str">
        <x:v>웹소작법</x:v>
      </x:c>
      <x:c r="G449" s="112" t="str">
        <x:v>웹소설 직접</x:v>
      </x:c>
      <x:c r="H449" s="112" t="str">
        <x:v>작법·상업성</x:v>
      </x:c>
      <x:c r="I449" s="112" t="n">
        <x:v>2</x:v>
      </x:c>
      <x:c r="J449" s="112" t="str">
        <x:v>묘사, 작법</x:v>
      </x:c>
      <x:c r="K449" s="112" t="str">
        <x:v>재게시</x:v>
      </x:c>
      <x:c r="L449" s="112" t="str">
        <x:v>높음</x:v>
      </x:c>
      <x:c r="M449" s="112" t="str">
        <x:v>제목의 펌/퍼옴 표시</x:v>
      </x:c>
      <x:c r="N449" s="116" t="str">
        <x:v>https://gall.dcinside.com/mgallery/board/view/?id=tgijjdd&amp;no=241393&amp;page=1</x:v>
      </x:c>
      <x:c r="O449" s="116" t="str">
        <x:v>https://m.blog.naver.com/sntu2010/221743828829</x:v>
      </x:c>
      <x:c r="P449" s="112" t="str">
        <x:v>아니오</x:v>
      </x:c>
      <x:c r="Q449" s="113" t="str">
        <x:v>자동 분류·표본 검토 대상</x:v>
      </x:c>
    </x:row>
    <x:row r="450">
      <x:c r="A450" s="100" t="n">
        <x:v>449</x:v>
      </x:c>
      <x:c r="B450" s="101" t="n">
        <x:v>43819</x:v>
      </x:c>
      <x:c r="C450" s="102" t="n">
        <x:v>2019</x:v>
      </x:c>
      <x:c r="D450" s="103" t="str">
        <x:v>ID-221743827385</x:v>
      </x:c>
      <x:c r="E450" s="112" t="str">
        <x:v>[펌]문장을 감각적으로 쓰는 버릇을 키워놔야 할 것 같다</x:v>
      </x:c>
      <x:c r="F450" s="112" t="str">
        <x:v>웹소작법</x:v>
      </x:c>
      <x:c r="G450" s="112" t="str">
        <x:v>웹소설 직접</x:v>
      </x:c>
      <x:c r="H450" s="112" t="str">
        <x:v>작법·상업성</x:v>
      </x:c>
      <x:c r="I450" s="112" t="n">
        <x:v>22</x:v>
      </x:c>
      <x:c r="J450" s="112" t="str">
        <x:v>문장, 장르, 작법</x:v>
      </x:c>
      <x:c r="K450" s="112" t="str">
        <x:v>재게시</x:v>
      </x:c>
      <x:c r="L450" s="112" t="str">
        <x:v>높음</x:v>
      </x:c>
      <x:c r="M450" s="112" t="str">
        <x:v>제목의 펌/퍼옴 표시</x:v>
      </x:c>
      <x:c r="N450" s="116" t="str">
        <x:v>https://gall.dcinside.com/mgallery/board/view/?id=tgijjdd&amp;no=237005&amp;exception_mode=recommend&amp;page=2</x:v>
      </x:c>
      <x:c r="O450" s="116" t="str">
        <x:v>https://m.blog.naver.com/sntu2010/221743827385</x:v>
      </x:c>
      <x:c r="P450" s="112" t="str">
        <x:v>예</x:v>
      </x:c>
      <x:c r="Q450" s="113" t="str">
        <x:v>자동 분류·표본 검토 대상</x:v>
      </x:c>
    </x:row>
    <x:row r="451">
      <x:c r="A451" s="100" t="n">
        <x:v>450</x:v>
      </x:c>
      <x:c r="B451" s="101" t="n">
        <x:v>43819</x:v>
      </x:c>
      <x:c r="C451" s="102" t="n">
        <x:v>2019</x:v>
      </x:c>
      <x:c r="D451" s="103" t="str">
        <x:v>ID-221743815022</x:v>
      </x:c>
      <x:c r="E451" s="112" t="str">
        <x:v>[펌]초보 지망생이들이 빠지기 쉬운 함정</x:v>
      </x:c>
      <x:c r="F451" s="112" t="str">
        <x:v>웹소작법</x:v>
      </x:c>
      <x:c r="G451" s="112" t="str">
        <x:v>웹소설 직접</x:v>
      </x:c>
      <x:c r="H451" s="112" t="str">
        <x:v>캐릭터·전개</x:v>
      </x:c>
      <x:c r="I451" s="112" t="n">
        <x:v>3</x:v>
      </x:c>
      <x:c r="J451" s="112" t="str">
        <x:v>대사, 캐릭터, 주인공</x:v>
      </x:c>
      <x:c r="K451" s="112" t="str">
        <x:v>재게시</x:v>
      </x:c>
      <x:c r="L451" s="112" t="str">
        <x:v>높음</x:v>
      </x:c>
      <x:c r="M451" s="112" t="str">
        <x:v>제목의 펌/퍼옴 표시</x:v>
      </x:c>
      <x:c r="N451" s="116" t="str">
        <x:v>https://gall.dcinside.com/mgallery/board/view/?id=tgijjdd&amp;no=238101&amp;exception_mode=recommend&amp;page=2</x:v>
      </x:c>
      <x:c r="O451" s="116" t="str">
        <x:v>https://m.blog.naver.com/sntu2010/221743815022</x:v>
      </x:c>
      <x:c r="P451" s="112" t="str">
        <x:v>아니오</x:v>
      </x:c>
      <x:c r="Q451" s="113" t="str">
        <x:v>자동 분류·표본 검토 대상</x:v>
      </x:c>
    </x:row>
    <x:row r="452">
      <x:c r="A452" s="100" t="n">
        <x:v>451</x:v>
      </x:c>
      <x:c r="B452" s="101" t="n">
        <x:v>43819</x:v>
      </x:c>
      <x:c r="C452" s="102" t="n">
        <x:v>2019</x:v>
      </x:c>
      <x:c r="D452" s="103" t="str">
        <x:v>ID-221743805867</x:v>
      </x:c>
      <x:c r="E452" s="112" t="str">
        <x:v>[펌]대사에서 요것만 신경써도 평타는 친다</x:v>
      </x:c>
      <x:c r="F452" s="112" t="str">
        <x:v>웹소작법</x:v>
      </x:c>
      <x:c r="G452" s="112" t="str">
        <x:v>웹소설 직접</x:v>
      </x:c>
      <x:c r="H452" s="112" t="str">
        <x:v>캐릭터·전개</x:v>
      </x:c>
      <x:c r="I452" s="112" t="n">
        <x:v>24</x:v>
      </x:c>
      <x:c r="J452" s="112" t="str">
        <x:v>대사, 캐릭터, 갈등</x:v>
      </x:c>
      <x:c r="K452" s="112" t="str">
        <x:v>재게시</x:v>
      </x:c>
      <x:c r="L452" s="112" t="str">
        <x:v>높음</x:v>
      </x:c>
      <x:c r="M452" s="112" t="str">
        <x:v>제목의 펌/퍼옴 표시</x:v>
      </x:c>
      <x:c r="N452" s="116" t="str">
        <x:v>https://gall.dcinside.com/mgallery/board/view/?id=tgijjdd&amp;no=238432&amp;exception_mode=recommend&amp;page=2</x:v>
      </x:c>
      <x:c r="O452" s="116" t="str">
        <x:v>https://m.blog.naver.com/sntu2010/221743805867</x:v>
      </x:c>
      <x:c r="P452" s="112" t="str">
        <x:v>예</x:v>
      </x:c>
      <x:c r="Q452" s="113" t="str">
        <x:v>자동 분류·표본 검토 대상</x:v>
      </x:c>
    </x:row>
    <x:row r="453">
      <x:c r="A453" s="100" t="n">
        <x:v>452</x:v>
      </x:c>
      <x:c r="B453" s="101" t="n">
        <x:v>43816</x:v>
      </x:c>
      <x:c r="C453" s="102" t="n">
        <x:v>2019</x:v>
      </x:c>
      <x:c r="D453" s="103" t="str">
        <x:v>ID-221740134105</x:v>
      </x:c>
      <x:c r="E453" s="112" t="str">
        <x:v>출판사에서 컨텍이 왔다. 어떻게 대처해야 할까?</x:v>
      </x:c>
      <x:c r="F453" s="112" t="str">
        <x:v>웹소생각</x:v>
      </x:c>
      <x:c r="G453" s="112" t="str">
        <x:v>웹소설 직접</x:v>
      </x:c>
      <x:c r="H453" s="112" t="str">
        <x:v>플랫폼·투고·계약</x:v>
      </x:c>
      <x:c r="I453" s="112" t="n">
        <x:v>28</x:v>
      </x:c>
      <x:c r="J453" s="112" t="str">
        <x:v>출판사, 문피아, 매니지</x:v>
      </x:c>
      <x:c r="K453" s="112" t="str">
        <x:v>본인 작성/의견 추정</x:v>
      </x:c>
      <x:c r="L453" s="112" t="str">
        <x:v>낮음</x:v>
      </x:c>
      <x:c r="M453" s="112" t="str">
        <x:v>재게시 표시는 없으나 저자성 직접 증거 부족</x:v>
      </x:c>
      <x:c r="N453" s="116" t="str"/>
      <x:c r="O453" s="116" t="str">
        <x:v>https://m.blog.naver.com/sntu2010/221740134105</x:v>
      </x:c>
      <x:c r="P453" s="112" t="str">
        <x:v>예</x:v>
      </x:c>
      <x:c r="Q453" s="113" t="str">
        <x:v>자동 분류·표본 검토 대상</x:v>
      </x:c>
    </x:row>
    <x:row r="454">
      <x:c r="A454" s="100" t="n">
        <x:v>453</x:v>
      </x:c>
      <x:c r="B454" s="101" t="n">
        <x:v>43811</x:v>
      </x:c>
      <x:c r="C454" s="102" t="n">
        <x:v>2019</x:v>
      </x:c>
      <x:c r="D454" s="103" t="str">
        <x:v>ID-221734763320</x:v>
      </x:c>
      <x:c r="E454" s="112" t="str">
        <x:v>문피아에서 연재하면 카카오페이지에 못 간다?</x:v>
      </x:c>
      <x:c r="F454" s="112" t="str">
        <x:v>웹소생각</x:v>
      </x:c>
      <x:c r="G454" s="112" t="str">
        <x:v>웹소설 직접</x:v>
      </x:c>
      <x:c r="H454" s="112" t="str">
        <x:v>플랫폼·투고·계약</x:v>
      </x:c>
      <x:c r="I454" s="112" t="n">
        <x:v>48</x:v>
      </x:c>
      <x:c r="J454" s="112" t="str">
        <x:v>문피아, 카카오, 플랫폼, 조아라, 계약, 네이버, 매니지</x:v>
      </x:c>
      <x:c r="K454" s="112" t="str">
        <x:v>본인 작성/의견 추정</x:v>
      </x:c>
      <x:c r="L454" s="112" t="str">
        <x:v>낮음</x:v>
      </x:c>
      <x:c r="M454" s="112" t="str">
        <x:v>재게시 표시는 없으나 저자성 직접 증거 부족</x:v>
      </x:c>
      <x:c r="N454" s="116" t="str"/>
      <x:c r="O454" s="116" t="str">
        <x:v>https://m.blog.naver.com/sntu2010/221734763320</x:v>
      </x:c>
      <x:c r="P454" s="112" t="str">
        <x:v>예</x:v>
      </x:c>
      <x:c r="Q454" s="113" t="str">
        <x:v>자동 분류·표본 검토 대상</x:v>
      </x:c>
    </x:row>
    <x:row r="455">
      <x:c r="A455" s="100" t="n">
        <x:v>454</x:v>
      </x:c>
      <x:c r="B455" s="101" t="n">
        <x:v>43808</x:v>
      </x:c>
      <x:c r="C455" s="102" t="n">
        <x:v>2019</x:v>
      </x:c>
      <x:c r="D455" s="103" t="str">
        <x:v>ID-221731714752</x:v>
      </x:c>
      <x:c r="E455" s="112" t="str">
        <x:v>주 3회 연재를 해도 괜찮을까?</x:v>
      </x:c>
      <x:c r="F455" s="112" t="str">
        <x:v>웹소생각</x:v>
      </x:c>
      <x:c r="G455" s="112" t="str">
        <x:v>웹소설 직접</x:v>
      </x:c>
      <x:c r="H455" s="112" t="str">
        <x:v>초반부/연독률</x:v>
      </x:c>
      <x:c r="I455" s="112" t="n">
        <x:v>2</x:v>
      </x:c>
      <x:c r="J455" s="112" t="str">
        <x:v>3화, 유입</x:v>
      </x:c>
      <x:c r="K455" s="112" t="str">
        <x:v>본인 작성/의견 추정</x:v>
      </x:c>
      <x:c r="L455" s="112" t="str">
        <x:v>낮음</x:v>
      </x:c>
      <x:c r="M455" s="112" t="str">
        <x:v>재게시 표시는 없으나 저자성 직접 증거 부족</x:v>
      </x:c>
      <x:c r="N455" s="116" t="str"/>
      <x:c r="O455" s="116" t="str">
        <x:v>https://m.blog.naver.com/sntu2010/221731714752</x:v>
      </x:c>
      <x:c r="P455" s="112" t="str">
        <x:v>아니오</x:v>
      </x:c>
      <x:c r="Q455" s="113" t="str">
        <x:v>수동 검토 필요</x:v>
      </x:c>
    </x:row>
    <x:row r="456">
      <x:c r="A456" s="100" t="n">
        <x:v>455</x:v>
      </x:c>
      <x:c r="B456" s="101" t="n">
        <x:v>43808</x:v>
      </x:c>
      <x:c r="C456" s="102" t="n">
        <x:v>2019</x:v>
      </x:c>
      <x:c r="D456" s="103" t="str">
        <x:v>ID-221731391138</x:v>
      </x:c>
      <x:c r="E456" s="112" t="str">
        <x:v>[펌]문장 연습 안 하고 문장력 저절로 늘어나는 법</x:v>
      </x:c>
      <x:c r="F456" s="112" t="str">
        <x:v>웹소작법</x:v>
      </x:c>
      <x:c r="G456" s="112" t="str">
        <x:v>웹소설 직접</x:v>
      </x:c>
      <x:c r="H456" s="112" t="str">
        <x:v>작법·상업성</x:v>
      </x:c>
      <x:c r="I456" s="112" t="n">
        <x:v>47</x:v>
      </x:c>
      <x:c r="J456" s="112" t="str">
        <x:v>문장, 작법</x:v>
      </x:c>
      <x:c r="K456" s="112" t="str">
        <x:v>재게시</x:v>
      </x:c>
      <x:c r="L456" s="112" t="str">
        <x:v>높음</x:v>
      </x:c>
      <x:c r="M456" s="112" t="str">
        <x:v>제목의 펌/퍼옴 표시</x:v>
      </x:c>
      <x:c r="N456" s="116" t="str">
        <x:v>https://gall.dcinside.com/mgallery/board/view/?id=tgijjdd&amp;no=235861&amp;exception_mode=recommend&amp;page=1</x:v>
      </x:c>
      <x:c r="O456" s="116" t="str">
        <x:v>https://m.blog.naver.com/sntu2010/221731391138</x:v>
      </x:c>
      <x:c r="P456" s="112" t="str">
        <x:v>예</x:v>
      </x:c>
      <x:c r="Q456" s="113" t="str">
        <x:v>자동 분류·표본 검토 대상</x:v>
      </x:c>
    </x:row>
    <x:row r="457">
      <x:c r="A457" s="100" t="n">
        <x:v>456</x:v>
      </x:c>
      <x:c r="B457" s="101" t="n">
        <x:v>43808</x:v>
      </x:c>
      <x:c r="C457" s="102" t="n">
        <x:v>2019</x:v>
      </x:c>
      <x:c r="D457" s="103" t="str">
        <x:v>ID-221731384407</x:v>
      </x:c>
      <x:c r="E457" s="112" t="str">
        <x:v>[펌]웹소 쓰는 법 이제 좀 알 것 같음</x:v>
      </x:c>
      <x:c r="F457" s="112" t="str">
        <x:v>웹소작법</x:v>
      </x:c>
      <x:c r="G457" s="112" t="str">
        <x:v>웹소설 직접</x:v>
      </x:c>
      <x:c r="H457" s="112" t="str">
        <x:v>캐릭터·전개</x:v>
      </x:c>
      <x:c r="I457" s="112" t="n">
        <x:v>8</x:v>
      </x:c>
      <x:c r="J457" s="112" t="str">
        <x:v>플롯, 사건, 주인공</x:v>
      </x:c>
      <x:c r="K457" s="112" t="str">
        <x:v>재게시</x:v>
      </x:c>
      <x:c r="L457" s="112" t="str">
        <x:v>높음</x:v>
      </x:c>
      <x:c r="M457" s="112" t="str">
        <x:v>제목의 펌/퍼옴 표시</x:v>
      </x:c>
      <x:c r="N457" s="116" t="str">
        <x:v>https://gall.dcinside.com/mgallery/board/view/?id=tgijjdd&amp;no=236047&amp;exception_mode=recommend&amp;page=1</x:v>
      </x:c>
      <x:c r="O457" s="116" t="str">
        <x:v>https://m.blog.naver.com/sntu2010/221731384407</x:v>
      </x:c>
      <x:c r="P457" s="112" t="str">
        <x:v>예</x:v>
      </x:c>
      <x:c r="Q457" s="113" t="str">
        <x:v>자동 분류·표본 검토 대상</x:v>
      </x:c>
    </x:row>
    <x:row r="458">
      <x:c r="A458" s="100" t="n">
        <x:v>457</x:v>
      </x:c>
      <x:c r="B458" s="101" t="n">
        <x:v>43808</x:v>
      </x:c>
      <x:c r="C458" s="102" t="n">
        <x:v>2019</x:v>
      </x:c>
      <x:c r="D458" s="103" t="str">
        <x:v>ID-221731380852</x:v>
      </x:c>
      <x:c r="E458" s="112" t="str">
        <x:v>[펌]11 월 지표로 보여주는 조노블 월 100킥과 나름의 조언</x:v>
      </x:c>
      <x:c r="F458" s="112" t="str">
        <x:v>웹소작법</x:v>
      </x:c>
      <x:c r="G458" s="112" t="str">
        <x:v>웹소설 직접</x:v>
      </x:c>
      <x:c r="H458" s="112" t="str">
        <x:v>수익·운영</x:v>
      </x:c>
      <x:c r="I458" s="112" t="n">
        <x:v>4</x:v>
      </x:c>
      <x:c r="J458" s="112" t="str">
        <x:v>수익, 수입, 연참</x:v>
      </x:c>
      <x:c r="K458" s="112" t="str">
        <x:v>재게시</x:v>
      </x:c>
      <x:c r="L458" s="112" t="str">
        <x:v>높음</x:v>
      </x:c>
      <x:c r="M458" s="112" t="str">
        <x:v>제목의 펌/퍼옴 표시</x:v>
      </x:c>
      <x:c r="N458" s="116" t="str">
        <x:v>https://gall.dcinside.com/mgallery/board/view/?id=tgijjdd&amp;no=235749&amp;exception_mode=recommend&amp;page=1</x:v>
      </x:c>
      <x:c r="O458" s="116" t="str">
        <x:v>https://m.blog.naver.com/sntu2010/221731380852</x:v>
      </x:c>
      <x:c r="P458" s="112" t="str">
        <x:v>아니오</x:v>
      </x:c>
      <x:c r="Q458" s="113" t="str">
        <x:v>자동 분류·표본 검토 대상</x:v>
      </x:c>
    </x:row>
    <x:row r="459">
      <x:c r="A459" s="100" t="n">
        <x:v>458</x:v>
      </x:c>
      <x:c r="B459" s="101" t="n">
        <x:v>43804</x:v>
      </x:c>
      <x:c r="C459" s="102" t="n">
        <x:v>2019</x:v>
      </x:c>
      <x:c r="D459" s="103" t="str">
        <x:v>ID-221727566589</x:v>
      </x:c>
      <x:c r="E459" s="112" t="str">
        <x:v>[펌]카카오에 가는 이유 = 첫달 매출</x:v>
      </x:c>
      <x:c r="F459" s="112" t="str">
        <x:v>웹소작법</x:v>
      </x:c>
      <x:c r="G459" s="112" t="str">
        <x:v>웹소설 직접</x:v>
      </x:c>
      <x:c r="H459" s="112" t="str">
        <x:v>플랫폼·투고·계약</x:v>
      </x:c>
      <x:c r="I459" s="112" t="n">
        <x:v>28</x:v>
      </x:c>
      <x:c r="J459" s="112" t="str">
        <x:v>카카오, 문피아</x:v>
      </x:c>
      <x:c r="K459" s="112" t="str">
        <x:v>재게시</x:v>
      </x:c>
      <x:c r="L459" s="112" t="str">
        <x:v>높음</x:v>
      </x:c>
      <x:c r="M459" s="112" t="str">
        <x:v>제목의 펌/퍼옴 표시</x:v>
      </x:c>
      <x:c r="N459" s="116" t="str">
        <x:v>https://gall.dcinside.com/mgallery/board/view/?id=tgijjdd&amp;no=233469&amp;exception_mode=recommend&amp;page=1</x:v>
      </x:c>
      <x:c r="O459" s="116" t="str">
        <x:v>https://m.blog.naver.com/sntu2010/221727566589</x:v>
      </x:c>
      <x:c r="P459" s="112" t="str">
        <x:v>예</x:v>
      </x:c>
      <x:c r="Q459" s="113" t="str">
        <x:v>자동 분류·표본 검토 대상</x:v>
      </x:c>
    </x:row>
    <x:row r="460">
      <x:c r="A460" s="100" t="n">
        <x:v>459</x:v>
      </x:c>
      <x:c r="B460" s="101" t="n">
        <x:v>43797</x:v>
      </x:c>
      <x:c r="C460" s="102" t="n">
        <x:v>2019</x:v>
      </x:c>
      <x:c r="D460" s="103" t="str">
        <x:v>ID-221720788775</x:v>
      </x:c>
      <x:c r="E460" s="112" t="str">
        <x:v>웹소설에서는 소재보다 패턴이 중요하다!</x:v>
      </x:c>
      <x:c r="F460" s="112" t="str">
        <x:v>웹소생각</x:v>
      </x:c>
      <x:c r="G460" s="112" t="str">
        <x:v>웹소설 직접</x:v>
      </x:c>
      <x:c r="H460" s="112" t="str">
        <x:v>작법·상업성</x:v>
      </x:c>
      <x:c r="I460" s="112" t="n">
        <x:v>28</x:v>
      </x:c>
      <x:c r="J460" s="112" t="str">
        <x:v>소재, 독자, 재미, 대리만족</x:v>
      </x:c>
      <x:c r="K460" s="112" t="str">
        <x:v>본인 작성/의견 추정</x:v>
      </x:c>
      <x:c r="L460" s="112" t="str">
        <x:v>낮음</x:v>
      </x:c>
      <x:c r="M460" s="112" t="str">
        <x:v>재게시 표시는 없으나 저자성 직접 증거 부족</x:v>
      </x:c>
      <x:c r="N460" s="116" t="str"/>
      <x:c r="O460" s="116" t="str">
        <x:v>https://m.blog.naver.com/sntu2010/221720788775</x:v>
      </x:c>
      <x:c r="P460" s="112" t="str">
        <x:v>예</x:v>
      </x:c>
      <x:c r="Q460" s="113" t="str">
        <x:v>자동 분류·표본 검토 대상</x:v>
      </x:c>
    </x:row>
    <x:row r="461">
      <x:c r="A461" s="100" t="n">
        <x:v>460</x:v>
      </x:c>
      <x:c r="B461" s="101" t="n">
        <x:v>43795</x:v>
      </x:c>
      <x:c r="C461" s="102" t="n">
        <x:v>2019</x:v>
      </x:c>
      <x:c r="D461" s="103" t="str">
        <x:v>ID-221718875935</x:v>
      </x:c>
      <x:c r="E461" s="112" t="str">
        <x:v>[펌]현재 사용중인 스크리브너 기초 세팅 공유(노쓰우드 작가님)</x:v>
      </x:c>
      <x:c r="F461" s="112" t="str">
        <x:v>웹소작법</x:v>
      </x:c>
      <x:c r="G461" s="112" t="str">
        <x:v>웹소설 직접</x:v>
      </x:c>
      <x:c r="H461" s="112" t="str">
        <x:v>캐릭터·전개</x:v>
      </x:c>
      <x:c r="I461" s="112" t="n">
        <x:v>3</x:v>
      </x:c>
      <x:c r="J461" s="112" t="str">
        <x:v>인물, 갈등</x:v>
      </x:c>
      <x:c r="K461" s="112" t="str">
        <x:v>재게시</x:v>
      </x:c>
      <x:c r="L461" s="112" t="str">
        <x:v>높음</x:v>
      </x:c>
      <x:c r="M461" s="112" t="str">
        <x:v>제목의 펌/퍼옴 표시</x:v>
      </x:c>
      <x:c r="N461" s="116" t="str">
        <x:v>https://gall.dcinside.com/mgallery/board/view/?id=tgijjdd&amp;no=230744&amp;exception_mode=recommend&amp;page=1</x:v>
      </x:c>
      <x:c r="O461" s="116" t="str">
        <x:v>https://m.blog.naver.com/sntu2010/221718875935</x:v>
      </x:c>
      <x:c r="P461" s="112" t="str">
        <x:v>아니오</x:v>
      </x:c>
      <x:c r="Q461" s="113" t="str">
        <x:v>자동 분류·표본 검토 대상</x:v>
      </x:c>
    </x:row>
    <x:row r="462">
      <x:c r="A462" s="100" t="n">
        <x:v>461</x:v>
      </x:c>
      <x:c r="B462" s="101" t="n">
        <x:v>43792</x:v>
      </x:c>
      <x:c r="C462" s="102" t="n">
        <x:v>2019</x:v>
      </x:c>
      <x:c r="D462" s="103" t="str">
        <x:v>ID-221716280509</x:v>
      </x:c>
      <x:c r="E462" s="112" t="str">
        <x:v>나만(작가만) 좋아하는 것을 버리자</x:v>
      </x:c>
      <x:c r="F462" s="112" t="str">
        <x:v>웹소생각</x:v>
      </x:c>
      <x:c r="G462" s="112" t="str">
        <x:v>웹소설 직접</x:v>
      </x:c>
      <x:c r="H462" s="112" t="str">
        <x:v>캐릭터·전개</x:v>
      </x:c>
      <x:c r="I462" s="112" t="n">
        <x:v>8</x:v>
      </x:c>
      <x:c r="J462" s="112" t="str">
        <x:v>조연, 주인공, 캐릭터</x:v>
      </x:c>
      <x:c r="K462" s="112" t="str">
        <x:v>본인 경험담 추정</x:v>
      </x:c>
      <x:c r="L462" s="112" t="str">
        <x:v>중간</x:v>
      </x:c>
      <x:c r="M462" s="112" t="str">
        <x:v>1인칭 경험·작품·계약 표현</x:v>
      </x:c>
      <x:c r="N462" s="116" t="str"/>
      <x:c r="O462" s="116" t="str">
        <x:v>https://m.blog.naver.com/sntu2010/221716280509</x:v>
      </x:c>
      <x:c r="P462" s="112" t="str">
        <x:v>예</x:v>
      </x:c>
      <x:c r="Q462" s="113" t="str">
        <x:v>자동 분류·표본 검토 대상</x:v>
      </x:c>
    </x:row>
    <x:row r="463">
      <x:c r="A463" s="100" t="n">
        <x:v>462</x:v>
      </x:c>
      <x:c r="B463" s="101" t="n">
        <x:v>43792</x:v>
      </x:c>
      <x:c r="C463" s="102" t="n">
        <x:v>2019</x:v>
      </x:c>
      <x:c r="D463" s="103" t="str">
        <x:v>ID-221716129593</x:v>
      </x:c>
      <x:c r="E463" s="112" t="str">
        <x:v>[펌]후배들에게 알려주고 싶은 것 11~12(노경찬 작가님)</x:v>
      </x:c>
      <x:c r="F463" s="112" t="str">
        <x:v>웹소작법</x:v>
      </x:c>
      <x:c r="G463" s="112" t="str">
        <x:v>웹소설 직접</x:v>
      </x:c>
      <x:c r="H463" s="112" t="str">
        <x:v>캐릭터·전개</x:v>
      </x:c>
      <x:c r="I463" s="112" t="n">
        <x:v>2</x:v>
      </x:c>
      <x:c r="J463" s="112" t="str">
        <x:v>주인공</x:v>
      </x:c>
      <x:c r="K463" s="112" t="str">
        <x:v>재게시</x:v>
      </x:c>
      <x:c r="L463" s="112" t="str">
        <x:v>높음</x:v>
      </x:c>
      <x:c r="M463" s="112" t="str">
        <x:v>제목의 펌/퍼옴 표시</x:v>
      </x:c>
      <x:c r="N463" s="116" t="str">
        <x:v>https://gall.dcinside.com/mgallery/board/view/?id=tgijjdd&amp;no=212222&amp;search_pos=-214548&amp;s_type=search_all&amp;s_keyword=%EB%85%B8%EA%B2%BD%EC%B0%AC&amp;page=2</x:v>
      </x:c>
      <x:c r="O463" s="116" t="str">
        <x:v>https://m.blog.naver.com/sntu2010/221716129593</x:v>
      </x:c>
      <x:c r="P463" s="112" t="str">
        <x:v>아니오</x:v>
      </x:c>
      <x:c r="Q463" s="113" t="str">
        <x:v>자동 분류·표본 검토 대상</x:v>
      </x:c>
    </x:row>
    <x:row r="464">
      <x:c r="A464" s="100" t="n">
        <x:v>463</x:v>
      </x:c>
      <x:c r="B464" s="101" t="n">
        <x:v>43792</x:v>
      </x:c>
      <x:c r="C464" s="102" t="n">
        <x:v>2019</x:v>
      </x:c>
      <x:c r="D464" s="103" t="str">
        <x:v>ID-221716125022</x:v>
      </x:c>
      <x:c r="E464" s="112" t="str">
        <x:v>[펌]갠적으로 1티어급 유명 작가들한테 감평 받아본 소감은</x:v>
      </x:c>
      <x:c r="F464" s="112" t="str">
        <x:v>웹소작법</x:v>
      </x:c>
      <x:c r="G464" s="112" t="str">
        <x:v>웹소설 직접</x:v>
      </x:c>
      <x:c r="H464" s="112" t="str">
        <x:v>작법·상업성</x:v>
      </x:c>
      <x:c r="I464" s="112" t="n">
        <x:v>4</x:v>
      </x:c>
      <x:c r="J464" s="112" t="str">
        <x:v>소재, 고구마, 작법</x:v>
      </x:c>
      <x:c r="K464" s="112" t="str">
        <x:v>재게시</x:v>
      </x:c>
      <x:c r="L464" s="112" t="str">
        <x:v>높음</x:v>
      </x:c>
      <x:c r="M464" s="112" t="str">
        <x:v>제목의 펌/퍼옴 표시</x:v>
      </x:c>
      <x:c r="N464" s="116" t="str">
        <x:v>https://gall.dcinside.com/mgallery/board/view/?id=tgijjdd&amp;no=211237&amp;search_pos=-214548&amp;s_type=search_all&amp;s_keyword=%EB%85%B8%EA%B2%BD%EC%B0%AC&amp;page=2</x:v>
      </x:c>
      <x:c r="O464" s="116" t="str">
        <x:v>https://m.blog.naver.com/sntu2010/221716125022</x:v>
      </x:c>
      <x:c r="P464" s="112" t="str">
        <x:v>아니오</x:v>
      </x:c>
      <x:c r="Q464" s="113" t="str">
        <x:v>자동 분류·표본 검토 대상</x:v>
      </x:c>
    </x:row>
    <x:row r="465">
      <x:c r="A465" s="100" t="n">
        <x:v>464</x:v>
      </x:c>
      <x:c r="B465" s="101" t="n">
        <x:v>43792</x:v>
      </x:c>
      <x:c r="C465" s="102" t="n">
        <x:v>2019</x:v>
      </x:c>
      <x:c r="D465" s="103" t="str">
        <x:v>ID-221716120836</x:v>
      </x:c>
      <x:c r="E465" s="112" t="str">
        <x:v>[펌]후배들에게 알려주고 싶은 것.9(노경찬 작가님)</x:v>
      </x:c>
      <x:c r="F465" s="112" t="str">
        <x:v>웹소작법</x:v>
      </x:c>
      <x:c r="G465" s="112" t="str">
        <x:v>웹소설 직접</x:v>
      </x:c>
      <x:c r="H465" s="112" t="str">
        <x:v>작법·상업성</x:v>
      </x:c>
      <x:c r="I465" s="112" t="n">
        <x:v>1</x:v>
      </x:c>
      <x:c r="J465" s="112" t="str">
        <x:v>작법</x:v>
      </x:c>
      <x:c r="K465" s="112" t="str">
        <x:v>재게시</x:v>
      </x:c>
      <x:c r="L465" s="112" t="str">
        <x:v>높음</x:v>
      </x:c>
      <x:c r="M465" s="112" t="str">
        <x:v>제목의 펌/퍼옴 표시</x:v>
      </x:c>
      <x:c r="N465" s="116" t="str">
        <x:v>https://gall.dcinside.com/mgallery/board/view/?id=tgijjdd&amp;no=111801&amp;search_pos=-114558&amp;s_type=search_all&amp;s_keyword=%ED%9B%84%EB%B0%B0%EB%93%A4%EC%97%90%EA%B2%8C+%EC%95%8C%EB%A0%A4%EC%A3%BC%EA%B3%A0+%EC%8B%B6%EC%9D%80+%EA%B2%83&amp;page=1</x:v>
      </x:c>
      <x:c r="O465" s="116" t="str">
        <x:v>https://m.blog.naver.com/sntu2010/221716120836</x:v>
      </x:c>
      <x:c r="P465" s="112" t="str">
        <x:v>아니오</x:v>
      </x:c>
      <x:c r="Q465" s="113" t="str">
        <x:v>자동 분류·표본 검토 대상</x:v>
      </x:c>
    </x:row>
    <x:row r="466">
      <x:c r="A466" s="100" t="n">
        <x:v>465</x:v>
      </x:c>
      <x:c r="B466" s="101" t="n">
        <x:v>43792</x:v>
      </x:c>
      <x:c r="C466" s="102" t="n">
        <x:v>2019</x:v>
      </x:c>
      <x:c r="D466" s="103" t="str">
        <x:v>ID-221716105386</x:v>
      </x:c>
      <x:c r="E466" s="112" t="str">
        <x:v>[펌]문학은 아니지만 예술쪽 작가 밑에서 일하면서 느낀 점은</x:v>
      </x:c>
      <x:c r="F466" s="112" t="str">
        <x:v>웹소작법</x:v>
      </x:c>
      <x:c r="G466" s="112" t="str">
        <x:v>웹소설 직접</x:v>
      </x:c>
      <x:c r="H466" s="112" t="str">
        <x:v>수익·운영</x:v>
      </x:c>
      <x:c r="I466" s="112" t="n">
        <x:v>1</x:v>
      </x:c>
      <x:c r="J466" s="112" t="str">
        <x:v>마감</x:v>
      </x:c>
      <x:c r="K466" s="112" t="str">
        <x:v>재게시</x:v>
      </x:c>
      <x:c r="L466" s="112" t="str">
        <x:v>높음</x:v>
      </x:c>
      <x:c r="M466" s="112" t="str">
        <x:v>제목의 펌/퍼옴 표시</x:v>
      </x:c>
      <x:c r="N466" s="116" t="str">
        <x:v>https://gall.dcinside.com/mgallery/board/view/?id=tgijjdd&amp;no=229902&amp;exception_mode=recommend&amp;page=1</x:v>
      </x:c>
      <x:c r="O466" s="116" t="str">
        <x:v>https://m.blog.naver.com/sntu2010/221716105386</x:v>
      </x:c>
      <x:c r="P466" s="112" t="str">
        <x:v>아니오</x:v>
      </x:c>
      <x:c r="Q466" s="113" t="str">
        <x:v>자동 분류·표본 검토 대상</x:v>
      </x:c>
    </x:row>
    <x:row r="467">
      <x:c r="A467" s="100" t="n">
        <x:v>466</x:v>
      </x:c>
      <x:c r="B467" s="101" t="n">
        <x:v>43792</x:v>
      </x:c>
      <x:c r="C467" s="102" t="n">
        <x:v>2019</x:v>
      </x:c>
      <x:c r="D467" s="103" t="str">
        <x:v>ID-221716100871</x:v>
      </x:c>
      <x:c r="E467" s="112" t="str">
        <x:v>선택과 집중을 도와주는 '집중력 타이머'</x:v>
      </x:c>
      <x:c r="F467" s="112" t="str">
        <x:v>웹소생각</x:v>
      </x:c>
      <x:c r="G467" s="112" t="str">
        <x:v>웹소설 직접</x:v>
      </x:c>
      <x:c r="H467" s="112" t="str">
        <x:v>기타/검토</x:v>
      </x:c>
      <x:c r="I467" s="112" t="n">
        <x:v>0</x:v>
      </x:c>
      <x:c r="J467" s="112" t="str"/>
      <x:c r="K467" s="112" t="str">
        <x:v>본인 작성/의견 추정</x:v>
      </x:c>
      <x:c r="L467" s="112" t="str">
        <x:v>낮음</x:v>
      </x:c>
      <x:c r="M467" s="112" t="str">
        <x:v>재게시 표시는 없으나 저자성 직접 증거 부족</x:v>
      </x:c>
      <x:c r="N467" s="116" t="str"/>
      <x:c r="O467" s="116" t="str">
        <x:v>https://m.blog.naver.com/sntu2010/221716100871</x:v>
      </x:c>
      <x:c r="P467" s="112" t="str">
        <x:v>아니오</x:v>
      </x:c>
      <x:c r="Q467" s="113" t="str">
        <x:v>수동 검토 필요</x:v>
      </x:c>
    </x:row>
    <x:row r="468">
      <x:c r="A468" s="100" t="n">
        <x:v>467</x:v>
      </x:c>
      <x:c r="B468" s="101" t="n">
        <x:v>43789</x:v>
      </x:c>
      <x:c r="C468" s="102" t="n">
        <x:v>2019</x:v>
      </x:c>
      <x:c r="D468" s="103" t="str">
        <x:v>ID-221713558096</x:v>
      </x:c>
      <x:c r="E468" s="112" t="str">
        <x:v>[펌]조연 연출에 관한 개뻘팁(노쓰우드 작가님)</x:v>
      </x:c>
      <x:c r="F468" s="112" t="str">
        <x:v>웹소작법</x:v>
      </x:c>
      <x:c r="G468" s="112" t="str">
        <x:v>웹소설 직접</x:v>
      </x:c>
      <x:c r="H468" s="112" t="str">
        <x:v>캐릭터·전개</x:v>
      </x:c>
      <x:c r="I468" s="112" t="n">
        <x:v>28</x:v>
      </x:c>
      <x:c r="J468" s="112" t="str">
        <x:v>조연, 서사, 주인공</x:v>
      </x:c>
      <x:c r="K468" s="112" t="str">
        <x:v>재게시</x:v>
      </x:c>
      <x:c r="L468" s="112" t="str">
        <x:v>높음</x:v>
      </x:c>
      <x:c r="M468" s="112" t="str">
        <x:v>제목의 펌/퍼옴 표시</x:v>
      </x:c>
      <x:c r="N468" s="116" t="str">
        <x:v>https://gall.dcinside.com/mgallery/board/view/?id=tgijjdd&amp;no=228055&amp;exception_mode=recommend&amp;page=1</x:v>
      </x:c>
      <x:c r="O468" s="116" t="str">
        <x:v>https://m.blog.naver.com/sntu2010/221713558096</x:v>
      </x:c>
      <x:c r="P468" s="112" t="str">
        <x:v>예</x:v>
      </x:c>
      <x:c r="Q468" s="113" t="str">
        <x:v>자동 분류·표본 검토 대상</x:v>
      </x:c>
    </x:row>
    <x:row r="469">
      <x:c r="A469" s="100" t="n">
        <x:v>468</x:v>
      </x:c>
      <x:c r="B469" s="101" t="n">
        <x:v>43783</x:v>
      </x:c>
      <x:c r="C469" s="102" t="n">
        <x:v>2019</x:v>
      </x:c>
      <x:c r="D469" s="103" t="str">
        <x:v>ID-221708143531</x:v>
      </x:c>
      <x:c r="E469" s="112" t="str">
        <x:v>[펌]노쓰우드 작가님 조언</x:v>
      </x:c>
      <x:c r="F469" s="112" t="str">
        <x:v>웹소작법</x:v>
      </x:c>
      <x:c r="G469" s="112" t="str">
        <x:v>웹소설 직접</x:v>
      </x:c>
      <x:c r="H469" s="112" t="str">
        <x:v>수익·운영</x:v>
      </x:c>
      <x:c r="I469" s="112" t="n">
        <x:v>2</x:v>
      </x:c>
      <x:c r="J469" s="112" t="str">
        <x:v>전업</x:v>
      </x:c>
      <x:c r="K469" s="112" t="str">
        <x:v>재게시</x:v>
      </x:c>
      <x:c r="L469" s="112" t="str">
        <x:v>높음</x:v>
      </x:c>
      <x:c r="M469" s="112" t="str">
        <x:v>제목의 펌/퍼옴 표시</x:v>
      </x:c>
      <x:c r="N469" s="116" t="str">
        <x:v>https://gall.dcinside.com/mgallery/board/view/?id=tgijjdd&amp;no=226446&amp;exception_mode=recommend&amp;page=1</x:v>
      </x:c>
      <x:c r="O469" s="116" t="str">
        <x:v>https://m.blog.naver.com/sntu2010/221708143531</x:v>
      </x:c>
      <x:c r="P469" s="112" t="str">
        <x:v>아니오</x:v>
      </x:c>
      <x:c r="Q469" s="113" t="str">
        <x:v>자동 분류·표본 검토 대상</x:v>
      </x:c>
    </x:row>
    <x:row r="470">
      <x:c r="A470" s="100" t="n">
        <x:v>469</x:v>
      </x:c>
      <x:c r="B470" s="101" t="n">
        <x:v>43783</x:v>
      </x:c>
      <x:c r="C470" s="102" t="n">
        <x:v>2019</x:v>
      </x:c>
      <x:c r="D470" s="103" t="str">
        <x:v>ID-221707649565</x:v>
      </x:c>
      <x:c r="E470" s="112" t="str">
        <x:v>[펌]문피아 무료연재 팁</x:v>
      </x:c>
      <x:c r="F470" s="112" t="str">
        <x:v>웹소작법</x:v>
      </x:c>
      <x:c r="G470" s="112" t="str">
        <x:v>웹소설 직접</x:v>
      </x:c>
      <x:c r="H470" s="112" t="str">
        <x:v>플랫폼·투고·계약</x:v>
      </x:c>
      <x:c r="I470" s="112" t="n">
        <x:v>20</x:v>
      </x:c>
      <x:c r="J470" s="112" t="str">
        <x:v>문피아</x:v>
      </x:c>
      <x:c r="K470" s="112" t="str">
        <x:v>재게시</x:v>
      </x:c>
      <x:c r="L470" s="112" t="str">
        <x:v>높음</x:v>
      </x:c>
      <x:c r="M470" s="112" t="str">
        <x:v>제목의 펌/퍼옴 표시</x:v>
      </x:c>
      <x:c r="N470" s="116" t="str">
        <x:v>https://gall.dcinside.com/mgallery/board/view/?id=tgijjdd&amp;no=226416&amp;page=1</x:v>
      </x:c>
      <x:c r="O470" s="116" t="str">
        <x:v>https://m.blog.naver.com/sntu2010/221707649565</x:v>
      </x:c>
      <x:c r="P470" s="112" t="str">
        <x:v>예</x:v>
      </x:c>
      <x:c r="Q470" s="113" t="str">
        <x:v>자동 분류·표본 검토 대상</x:v>
      </x:c>
    </x:row>
    <x:row r="471">
      <x:c r="A471" s="100" t="n">
        <x:v>470</x:v>
      </x:c>
      <x:c r="B471" s="101" t="n">
        <x:v>43776</x:v>
      </x:c>
      <x:c r="C471" s="102" t="n">
        <x:v>2019</x:v>
      </x:c>
      <x:c r="D471" s="103" t="str">
        <x:v>ID-221701414180</x:v>
      </x:c>
      <x:c r="E471" s="112" t="str">
        <x:v>[펌]웹소설에서 천재 캐릭터 만들기</x:v>
      </x:c>
      <x:c r="F471" s="112" t="str">
        <x:v>웹소작법</x:v>
      </x:c>
      <x:c r="G471" s="112" t="str">
        <x:v>웹소설 직접</x:v>
      </x:c>
      <x:c r="H471" s="112" t="str">
        <x:v>캐릭터·전개</x:v>
      </x:c>
      <x:c r="I471" s="112" t="n">
        <x:v>28</x:v>
      </x:c>
      <x:c r="J471" s="112" t="str">
        <x:v>캐릭터, 주인공</x:v>
      </x:c>
      <x:c r="K471" s="112" t="str">
        <x:v>재게시</x:v>
      </x:c>
      <x:c r="L471" s="112" t="str">
        <x:v>높음</x:v>
      </x:c>
      <x:c r="M471" s="112" t="str">
        <x:v>제목의 펌/퍼옴 표시</x:v>
      </x:c>
      <x:c r="N471" s="116" t="str">
        <x:v>https://gall.dcinside.com/mgallery/board/view/?id=tgijjdd&amp;no=223645&amp;exception_mode=recommend&amp;page=1</x:v>
      </x:c>
      <x:c r="O471" s="116" t="str">
        <x:v>https://m.blog.naver.com/sntu2010/221701414180</x:v>
      </x:c>
      <x:c r="P471" s="112" t="str">
        <x:v>예</x:v>
      </x:c>
      <x:c r="Q471" s="113" t="str">
        <x:v>자동 분류·표본 검토 대상</x:v>
      </x:c>
    </x:row>
    <x:row r="472">
      <x:c r="A472" s="100" t="n">
        <x:v>471</x:v>
      </x:c>
      <x:c r="B472" s="101" t="n">
        <x:v>43776</x:v>
      </x:c>
      <x:c r="C472" s="102" t="n">
        <x:v>2019</x:v>
      </x:c>
      <x:c r="D472" s="103" t="str">
        <x:v>ID-221701409757</x:v>
      </x:c>
      <x:c r="E472" s="112" t="str">
        <x:v>[펌]입체적인 조연 만드는 법</x:v>
      </x:c>
      <x:c r="F472" s="112" t="str">
        <x:v>웹소작법</x:v>
      </x:c>
      <x:c r="G472" s="112" t="str">
        <x:v>웹소설 직접</x:v>
      </x:c>
      <x:c r="H472" s="112" t="str">
        <x:v>캐릭터·전개</x:v>
      </x:c>
      <x:c r="I472" s="112" t="n">
        <x:v>28</x:v>
      </x:c>
      <x:c r="J472" s="112" t="str">
        <x:v>조연, 캐릭터, 주인공</x:v>
      </x:c>
      <x:c r="K472" s="112" t="str">
        <x:v>재게시</x:v>
      </x:c>
      <x:c r="L472" s="112" t="str">
        <x:v>높음</x:v>
      </x:c>
      <x:c r="M472" s="112" t="str">
        <x:v>제목의 펌/퍼옴 표시</x:v>
      </x:c>
      <x:c r="N472" s="116" t="str">
        <x:v>https://gall.dcinside.com/mgallery/board/view/?id=tgijjdd&amp;no=222167&amp;exception_mode=recommend&amp;page=1</x:v>
      </x:c>
      <x:c r="O472" s="116" t="str">
        <x:v>https://m.blog.naver.com/sntu2010/221701409757</x:v>
      </x:c>
      <x:c r="P472" s="112" t="str">
        <x:v>예</x:v>
      </x:c>
      <x:c r="Q472" s="113" t="str">
        <x:v>자동 분류·표본 검토 대상</x:v>
      </x:c>
    </x:row>
    <x:row r="473">
      <x:c r="A473" s="100" t="n">
        <x:v>472</x:v>
      </x:c>
      <x:c r="B473" s="101" t="n">
        <x:v>43776</x:v>
      </x:c>
      <x:c r="C473" s="102" t="n">
        <x:v>2019</x:v>
      </x:c>
      <x:c r="D473" s="103" t="str">
        <x:v>ID-221701406121</x:v>
      </x:c>
      <x:c r="E473" s="112" t="str">
        <x:v>[펌]빠르게 글먹하는 비법 - 기본이 문제</x:v>
      </x:c>
      <x:c r="F473" s="112" t="str">
        <x:v>웹소작법</x:v>
      </x:c>
      <x:c r="G473" s="112" t="str">
        <x:v>웹소설 직접</x:v>
      </x:c>
      <x:c r="H473" s="112" t="str">
        <x:v>작법·상업성</x:v>
      </x:c>
      <x:c r="I473" s="112" t="n">
        <x:v>4</x:v>
      </x:c>
      <x:c r="J473" s="112" t="str">
        <x:v>설정, 작법</x:v>
      </x:c>
      <x:c r="K473" s="112" t="str">
        <x:v>재게시</x:v>
      </x:c>
      <x:c r="L473" s="112" t="str">
        <x:v>높음</x:v>
      </x:c>
      <x:c r="M473" s="112" t="str">
        <x:v>제목의 펌/퍼옴 표시</x:v>
      </x:c>
      <x:c r="N473" s="116" t="str">
        <x:v>https://gall.dcinside.com/mgallery/board/view/?id=tgijjdd&amp;no=220519&amp;exception_mode=recommend&amp;page=3</x:v>
      </x:c>
      <x:c r="O473" s="116" t="str">
        <x:v>https://m.blog.naver.com/sntu2010/221701406121</x:v>
      </x:c>
      <x:c r="P473" s="112" t="str">
        <x:v>아니오</x:v>
      </x:c>
      <x:c r="Q473" s="113" t="str">
        <x:v>자동 분류·표본 검토 대상</x:v>
      </x:c>
    </x:row>
    <x:row r="474">
      <x:c r="A474" s="100" t="n">
        <x:v>473</x:v>
      </x:c>
      <x:c r="B474" s="101" t="n">
        <x:v>43776</x:v>
      </x:c>
      <x:c r="C474" s="102" t="n">
        <x:v>2019</x:v>
      </x:c>
      <x:c r="D474" s="103" t="str">
        <x:v>ID-221701403567</x:v>
      </x:c>
      <x:c r="E474" s="112" t="str">
        <x:v>[펌]웹소에서 자주 발견되는 실수들</x:v>
      </x:c>
      <x:c r="F474" s="112" t="str">
        <x:v>웹소작법</x:v>
      </x:c>
      <x:c r="G474" s="112" t="str">
        <x:v>웹소설 직접</x:v>
      </x:c>
      <x:c r="H474" s="112" t="str">
        <x:v>작법·상업성</x:v>
      </x:c>
      <x:c r="I474" s="112" t="n">
        <x:v>4</x:v>
      </x:c>
      <x:c r="J474" s="112" t="str">
        <x:v>문장, 재미, 독자, 작법</x:v>
      </x:c>
      <x:c r="K474" s="112" t="str">
        <x:v>재게시</x:v>
      </x:c>
      <x:c r="L474" s="112" t="str">
        <x:v>높음</x:v>
      </x:c>
      <x:c r="M474" s="112" t="str">
        <x:v>제목의 펌/퍼옴 표시</x:v>
      </x:c>
      <x:c r="N474" s="116" t="str">
        <x:v>https://gall.dcinside.com/mgallery/board/view/?id=tgijjdd&amp;no=219872&amp;exception_mode=recommend&amp;page=3</x:v>
      </x:c>
      <x:c r="O474" s="116" t="str">
        <x:v>https://m.blog.naver.com/sntu2010/221701403567</x:v>
      </x:c>
      <x:c r="P474" s="112" t="str">
        <x:v>아니오</x:v>
      </x:c>
      <x:c r="Q474" s="113" t="str">
        <x:v>자동 분류·표본 검토 대상</x:v>
      </x:c>
    </x:row>
    <x:row r="475">
      <x:c r="A475" s="100" t="n">
        <x:v>474</x:v>
      </x:c>
      <x:c r="B475" s="101" t="n">
        <x:v>43776</x:v>
      </x:c>
      <x:c r="C475" s="102" t="n">
        <x:v>2019</x:v>
      </x:c>
      <x:c r="D475" s="103" t="str">
        <x:v>ID-221701402834</x:v>
      </x:c>
      <x:c r="E475" s="112" t="str">
        <x:v>[펌]동기부여 -&gt; 목표 -&gt; 기대 -&gt; 보상</x:v>
      </x:c>
      <x:c r="F475" s="112" t="str">
        <x:v>웹소작법</x:v>
      </x:c>
      <x:c r="G475" s="112" t="str">
        <x:v>웹소설 직접</x:v>
      </x:c>
      <x:c r="H475" s="112" t="str">
        <x:v>캐릭터·전개</x:v>
      </x:c>
      <x:c r="I475" s="112" t="n">
        <x:v>1</x:v>
      </x:c>
      <x:c r="J475" s="112" t="str">
        <x:v>사건</x:v>
      </x:c>
      <x:c r="K475" s="112" t="str">
        <x:v>재게시</x:v>
      </x:c>
      <x:c r="L475" s="112" t="str">
        <x:v>높음</x:v>
      </x:c>
      <x:c r="M475" s="112" t="str">
        <x:v>제목의 펌/퍼옴 표시</x:v>
      </x:c>
      <x:c r="N475" s="116" t="str">
        <x:v>https://gall.dcinside.com/mgallery/board/view/?id=tgijjdd&amp;no=219720&amp;exception_mode=recommend&amp;page=3</x:v>
      </x:c>
      <x:c r="O475" s="116" t="str">
        <x:v>https://m.blog.naver.com/sntu2010/221701402834</x:v>
      </x:c>
      <x:c r="P475" s="112" t="str">
        <x:v>아니오</x:v>
      </x:c>
      <x:c r="Q475" s="113" t="str">
        <x:v>자동 분류·표본 검토 대상</x:v>
      </x:c>
    </x:row>
    <x:row r="476">
      <x:c r="A476" s="100" t="n">
        <x:v>475</x:v>
      </x:c>
      <x:c r="B476" s="101" t="n">
        <x:v>43776</x:v>
      </x:c>
      <x:c r="C476" s="102" t="n">
        <x:v>2019</x:v>
      </x:c>
      <x:c r="D476" s="103" t="str">
        <x:v>ID-221701399591</x:v>
      </x:c>
      <x:c r="E476" s="112" t="str">
        <x:v>[펌]장편연재를 위한 플롯을 어떻게 짤까?</x:v>
      </x:c>
      <x:c r="F476" s="112" t="str">
        <x:v>웹소작법</x:v>
      </x:c>
      <x:c r="G476" s="112" t="str">
        <x:v>웹소설 직접</x:v>
      </x:c>
      <x:c r="H476" s="112" t="str">
        <x:v>캐릭터·전개</x:v>
      </x:c>
      <x:c r="I476" s="112" t="n">
        <x:v>24</x:v>
      </x:c>
      <x:c r="J476" s="112" t="str">
        <x:v>플롯, 주인공</x:v>
      </x:c>
      <x:c r="K476" s="112" t="str">
        <x:v>재게시</x:v>
      </x:c>
      <x:c r="L476" s="112" t="str">
        <x:v>높음</x:v>
      </x:c>
      <x:c r="M476" s="112" t="str">
        <x:v>제목의 펌/퍼옴 표시</x:v>
      </x:c>
      <x:c r="N476" s="116" t="str">
        <x:v>https://gall.dcinside.com/mgallery/board/view/?id=tgijjdd&amp;no=219192&amp;exception_mode=recommend&amp;page=4</x:v>
      </x:c>
      <x:c r="O476" s="116" t="str">
        <x:v>https://m.blog.naver.com/sntu2010/221701399591</x:v>
      </x:c>
      <x:c r="P476" s="112" t="str">
        <x:v>예</x:v>
      </x:c>
      <x:c r="Q476" s="113" t="str">
        <x:v>자동 분류·표본 검토 대상</x:v>
      </x:c>
    </x:row>
    <x:row r="477">
      <x:c r="A477" s="100" t="n">
        <x:v>476</x:v>
      </x:c>
      <x:c r="B477" s="101" t="n">
        <x:v>43776</x:v>
      </x:c>
      <x:c r="C477" s="102" t="n">
        <x:v>2019</x:v>
      </x:c>
      <x:c r="D477" s="103" t="str">
        <x:v>ID-221701397322</x:v>
      </x:c>
      <x:c r="E477" s="112" t="str">
        <x:v>[펌]팁. 캐릭터(인물)에 관하여. 주저리 주저리</x:v>
      </x:c>
      <x:c r="F477" s="112" t="str">
        <x:v>웹소작법</x:v>
      </x:c>
      <x:c r="G477" s="112" t="str">
        <x:v>웹소설 직접</x:v>
      </x:c>
      <x:c r="H477" s="112" t="str">
        <x:v>캐릭터·전개</x:v>
      </x:c>
      <x:c r="I477" s="112" t="n">
        <x:v>48</x:v>
      </x:c>
      <x:c r="J477" s="112" t="str">
        <x:v>캐릭터, 인물, 주인공</x:v>
      </x:c>
      <x:c r="K477" s="112" t="str">
        <x:v>재게시</x:v>
      </x:c>
      <x:c r="L477" s="112" t="str">
        <x:v>높음</x:v>
      </x:c>
      <x:c r="M477" s="112" t="str">
        <x:v>제목의 펌/퍼옴 표시</x:v>
      </x:c>
      <x:c r="N477" s="116" t="str">
        <x:v>https://gall.dcinside.com/mgallery/board/view/?id=tgijjdd&amp;no=218414&amp;exception_mode=recommend&amp;page=4</x:v>
      </x:c>
      <x:c r="O477" s="116" t="str">
        <x:v>https://m.blog.naver.com/sntu2010/221701397322</x:v>
      </x:c>
      <x:c r="P477" s="112" t="str">
        <x:v>예</x:v>
      </x:c>
      <x:c r="Q477" s="113" t="str">
        <x:v>자동 분류·표본 검토 대상</x:v>
      </x:c>
    </x:row>
    <x:row r="478">
      <x:c r="A478" s="100" t="n">
        <x:v>477</x:v>
      </x:c>
      <x:c r="B478" s="101" t="n">
        <x:v>43776</x:v>
      </x:c>
      <x:c r="C478" s="102" t="n">
        <x:v>2019</x:v>
      </x:c>
      <x:c r="D478" s="103" t="str">
        <x:v>ID-221701396980</x:v>
      </x:c>
      <x:c r="E478" s="112" t="str">
        <x:v>[펌]금강 강의 분석, 캐릭터가 중요하다고 강조한 이유가 뭘까</x:v>
      </x:c>
      <x:c r="F478" s="112" t="str">
        <x:v>웹소작법</x:v>
      </x:c>
      <x:c r="G478" s="112" t="str">
        <x:v>웹소설 직접</x:v>
      </x:c>
      <x:c r="H478" s="112" t="str">
        <x:v>캐릭터·전개</x:v>
      </x:c>
      <x:c r="I478" s="112" t="n">
        <x:v>20</x:v>
      </x:c>
      <x:c r="J478" s="112" t="str">
        <x:v>캐릭터</x:v>
      </x:c>
      <x:c r="K478" s="112" t="str">
        <x:v>재게시</x:v>
      </x:c>
      <x:c r="L478" s="112" t="str">
        <x:v>높음</x:v>
      </x:c>
      <x:c r="M478" s="112" t="str">
        <x:v>제목의 펌/퍼옴 표시</x:v>
      </x:c>
      <x:c r="N478" s="116" t="str">
        <x:v>https://gall.dcinside.com/mgallery/board/view/?id=tgijjdd&amp;no=218202&amp;exception_mode=recommend&amp;page=4</x:v>
      </x:c>
      <x:c r="O478" s="116" t="str">
        <x:v>https://m.blog.naver.com/sntu2010/221701396980</x:v>
      </x:c>
      <x:c r="P478" s="112" t="str">
        <x:v>예</x:v>
      </x:c>
      <x:c r="Q478" s="113" t="str">
        <x:v>자동 분류·표본 검토 대상</x:v>
      </x:c>
    </x:row>
    <x:row r="479">
      <x:c r="A479" s="100" t="n">
        <x:v>478</x:v>
      </x:c>
      <x:c r="B479" s="101" t="n">
        <x:v>43776</x:v>
      </x:c>
      <x:c r="C479" s="102" t="n">
        <x:v>2019</x:v>
      </x:c>
      <x:c r="D479" s="103" t="str">
        <x:v>ID-221701396436</x:v>
      </x:c>
      <x:c r="E479" s="112" t="str">
        <x:v>[펌]부산 금강 웹소설 특강 내용 정리 txt</x:v>
      </x:c>
      <x:c r="F479" s="112" t="str">
        <x:v>웹소작법</x:v>
      </x:c>
      <x:c r="G479" s="112" t="str">
        <x:v>웹소설 직접</x:v>
      </x:c>
      <x:c r="H479" s="112" t="str">
        <x:v>작법·상업성</x:v>
      </x:c>
      <x:c r="I479" s="112" t="n">
        <x:v>2</x:v>
      </x:c>
      <x:c r="J479" s="112" t="str">
        <x:v>설정, 작법</x:v>
      </x:c>
      <x:c r="K479" s="112" t="str">
        <x:v>재게시</x:v>
      </x:c>
      <x:c r="L479" s="112" t="str">
        <x:v>높음</x:v>
      </x:c>
      <x:c r="M479" s="112" t="str">
        <x:v>제목의 펌/퍼옴 표시</x:v>
      </x:c>
      <x:c r="N479" s="116" t="str">
        <x:v>https://gall.dcinside.com/mgallery/board/view/?id=tgijjdd&amp;no=217922&amp;exception_mode=recommend&amp;page=4</x:v>
      </x:c>
      <x:c r="O479" s="116" t="str">
        <x:v>https://m.blog.naver.com/sntu2010/221701396436</x:v>
      </x:c>
      <x:c r="P479" s="112" t="str">
        <x:v>아니오</x:v>
      </x:c>
      <x:c r="Q479" s="113" t="str">
        <x:v>자동 분류·표본 검토 대상</x:v>
      </x:c>
    </x:row>
    <x:row r="480">
      <x:c r="A480" s="100" t="n">
        <x:v>479</x:v>
      </x:c>
      <x:c r="B480" s="101" t="n">
        <x:v>43776</x:v>
      </x:c>
      <x:c r="C480" s="102" t="n">
        <x:v>2019</x:v>
      </x:c>
      <x:c r="D480" s="103" t="str">
        <x:v>ID-221701394017</x:v>
      </x:c>
      <x:c r="E480" s="112" t="str">
        <x:v>[펌]글쓰다 플롯 막힐때 꿀팁</x:v>
      </x:c>
      <x:c r="F480" s="112" t="str">
        <x:v>웹소작법</x:v>
      </x:c>
      <x:c r="G480" s="112" t="str">
        <x:v>웹소설 직접</x:v>
      </x:c>
      <x:c r="H480" s="112" t="str">
        <x:v>캐릭터·전개</x:v>
      </x:c>
      <x:c r="I480" s="112" t="n">
        <x:v>23</x:v>
      </x:c>
      <x:c r="J480" s="112" t="str">
        <x:v>플롯, 인물, 조연</x:v>
      </x:c>
      <x:c r="K480" s="112" t="str">
        <x:v>재게시</x:v>
      </x:c>
      <x:c r="L480" s="112" t="str">
        <x:v>높음</x:v>
      </x:c>
      <x:c r="M480" s="112" t="str">
        <x:v>제목의 펌/퍼옴 표시</x:v>
      </x:c>
      <x:c r="N480" s="116" t="str">
        <x:v>https://gall.dcinside.com/mgallery/board/view/?id=tgijjdd&amp;no=213444&amp;exception_mode=recommend&amp;page=6</x:v>
      </x:c>
      <x:c r="O480" s="116" t="str">
        <x:v>https://m.blog.naver.com/sntu2010/221701394017</x:v>
      </x:c>
      <x:c r="P480" s="112" t="str">
        <x:v>예</x:v>
      </x:c>
      <x:c r="Q480" s="113" t="str">
        <x:v>자동 분류·표본 검토 대상</x:v>
      </x:c>
    </x:row>
    <x:row r="481">
      <x:c r="A481" s="100" t="n">
        <x:v>480</x:v>
      </x:c>
      <x:c r="B481" s="101" t="n">
        <x:v>43776</x:v>
      </x:c>
      <x:c r="C481" s="102" t="n">
        <x:v>2019</x:v>
      </x:c>
      <x:c r="D481" s="103" t="str">
        <x:v>ID-221701392455</x:v>
      </x:c>
      <x:c r="E481" s="112" t="str">
        <x:v>[펌]독자는 수준이 낮은 게 아니다</x:v>
      </x:c>
      <x:c r="F481" s="112" t="str">
        <x:v>웹소작법</x:v>
      </x:c>
      <x:c r="G481" s="112" t="str">
        <x:v>웹소설 직접</x:v>
      </x:c>
      <x:c r="H481" s="112" t="str">
        <x:v>작법·상업성</x:v>
      </x:c>
      <x:c r="I481" s="112" t="n">
        <x:v>28</x:v>
      </x:c>
      <x:c r="J481" s="112" t="str">
        <x:v>독자, 고구마, 사이다, 작법</x:v>
      </x:c>
      <x:c r="K481" s="112" t="str">
        <x:v>재게시</x:v>
      </x:c>
      <x:c r="L481" s="112" t="str">
        <x:v>높음</x:v>
      </x:c>
      <x:c r="M481" s="112" t="str">
        <x:v>제목의 펌/퍼옴 표시</x:v>
      </x:c>
      <x:c r="N481" s="116" t="str">
        <x:v>https://gall.dcinside.com/mgallery/board/view/?id=tgijjdd&amp;no=217098&amp;exception_mode=recommend&amp;page=5</x:v>
      </x:c>
      <x:c r="O481" s="116" t="str">
        <x:v>https://m.blog.naver.com/sntu2010/221701392455</x:v>
      </x:c>
      <x:c r="P481" s="112" t="str">
        <x:v>예</x:v>
      </x:c>
      <x:c r="Q481" s="113" t="str">
        <x:v>자동 분류·표본 검토 대상</x:v>
      </x:c>
    </x:row>
    <x:row r="482">
      <x:c r="A482" s="100" t="n">
        <x:v>481</x:v>
      </x:c>
      <x:c r="B482" s="101" t="n">
        <x:v>43776</x:v>
      </x:c>
      <x:c r="C482" s="102" t="n">
        <x:v>2019</x:v>
      </x:c>
      <x:c r="D482" s="103" t="str">
        <x:v>ID-221701390823</x:v>
      </x:c>
      <x:c r="E482" s="112" t="str">
        <x:v>[펌]팁 던진다. 웹소에서는 서술트릭 퍼즐서술을 쓰지마라. 나혼자서술을 써라</x:v>
      </x:c>
      <x:c r="F482" s="112" t="str">
        <x:v>웹소작법</x:v>
      </x:c>
      <x:c r="G482" s="112" t="str">
        <x:v>웹소설 직접</x:v>
      </x:c>
      <x:c r="H482" s="112" t="str">
        <x:v>작법·상업성</x:v>
      </x:c>
      <x:c r="I482" s="112" t="n">
        <x:v>4</x:v>
      </x:c>
      <x:c r="J482" s="112" t="str">
        <x:v>독자, 작법</x:v>
      </x:c>
      <x:c r="K482" s="112" t="str">
        <x:v>재게시</x:v>
      </x:c>
      <x:c r="L482" s="112" t="str">
        <x:v>높음</x:v>
      </x:c>
      <x:c r="M482" s="112" t="str">
        <x:v>제목의 펌/퍼옴 표시</x:v>
      </x:c>
      <x:c r="N482" s="116" t="str">
        <x:v>https://gall.dcinside.com/mgallery/board/view/?id=tgijjdd&amp;no=216875&amp;exception_mode=recommend&amp;page=5</x:v>
      </x:c>
      <x:c r="O482" s="116" t="str">
        <x:v>https://m.blog.naver.com/sntu2010/221701390823</x:v>
      </x:c>
      <x:c r="P482" s="112" t="str">
        <x:v>아니오</x:v>
      </x:c>
      <x:c r="Q482" s="113" t="str">
        <x:v>자동 분류·표본 검토 대상</x:v>
      </x:c>
    </x:row>
    <x:row r="483">
      <x:c r="A483" s="100" t="n">
        <x:v>482</x:v>
      </x:c>
      <x:c r="B483" s="101" t="n">
        <x:v>43776</x:v>
      </x:c>
      <x:c r="C483" s="102" t="n">
        <x:v>2019</x:v>
      </x:c>
      <x:c r="D483" s="103" t="str">
        <x:v>ID-221701390051</x:v>
      </x:c>
      <x:c r="E483" s="112" t="str">
        <x:v>[펌]웹소설 작가 지망생을 위한 유료화 과정 총 정리</x:v>
      </x:c>
      <x:c r="F483" s="112" t="str">
        <x:v>웹소작법</x:v>
      </x:c>
      <x:c r="G483" s="112" t="str">
        <x:v>웹소설 직접</x:v>
      </x:c>
      <x:c r="H483" s="112" t="str">
        <x:v>초반부/연독률</x:v>
      </x:c>
      <x:c r="I483" s="112" t="n">
        <x:v>28</x:v>
      </x:c>
      <x:c r="J483" s="112" t="str">
        <x:v>유료화, 15화, 선작, 연독, 유입</x:v>
      </x:c>
      <x:c r="K483" s="112" t="str">
        <x:v>재게시</x:v>
      </x:c>
      <x:c r="L483" s="112" t="str">
        <x:v>높음</x:v>
      </x:c>
      <x:c r="M483" s="112" t="str">
        <x:v>제목의 펌/퍼옴 표시</x:v>
      </x:c>
      <x:c r="N483" s="116" t="str">
        <x:v>https://gall.dcinside.com/mgallery/board/view/?id=tgijjdd&amp;no=216839&amp;exception_mode=recommend&amp;page=5</x:v>
      </x:c>
      <x:c r="O483" s="116" t="str">
        <x:v>https://m.blog.naver.com/sntu2010/221701390051</x:v>
      </x:c>
      <x:c r="P483" s="112" t="str">
        <x:v>예</x:v>
      </x:c>
      <x:c r="Q483" s="113" t="str">
        <x:v>자동 분류·표본 검토 대상</x:v>
      </x:c>
    </x:row>
    <x:row r="484">
      <x:c r="A484" s="100" t="n">
        <x:v>483</x:v>
      </x:c>
      <x:c r="B484" s="101" t="n">
        <x:v>43776</x:v>
      </x:c>
      <x:c r="C484" s="102" t="n">
        <x:v>2019</x:v>
      </x:c>
      <x:c r="D484" s="103" t="str">
        <x:v>ID-221701389741</x:v>
      </x:c>
      <x:c r="E484" s="112" t="str">
        <x:v>[펌]연참 하는 법 하루에 1만5천자 뽑는법 알려준다</x:v>
      </x:c>
      <x:c r="F484" s="112" t="str">
        <x:v>웹소작법</x:v>
      </x:c>
      <x:c r="G484" s="112" t="str">
        <x:v>웹소설 직접</x:v>
      </x:c>
      <x:c r="H484" s="112" t="str">
        <x:v>수익·운영</x:v>
      </x:c>
      <x:c r="I484" s="112" t="n">
        <x:v>20</x:v>
      </x:c>
      <x:c r="J484" s="112" t="str">
        <x:v>연참</x:v>
      </x:c>
      <x:c r="K484" s="112" t="str">
        <x:v>재게시</x:v>
      </x:c>
      <x:c r="L484" s="112" t="str">
        <x:v>높음</x:v>
      </x:c>
      <x:c r="M484" s="112" t="str">
        <x:v>제목의 펌/퍼옴 표시</x:v>
      </x:c>
      <x:c r="N484" s="116" t="str">
        <x:v>https://gall.dcinside.com/mgallery/board/view/?id=tgijjdd&amp;no=216821&amp;exception_mode=recommend&amp;page=5</x:v>
      </x:c>
      <x:c r="O484" s="116" t="str">
        <x:v>https://m.blog.naver.com/sntu2010/221701389741</x:v>
      </x:c>
      <x:c r="P484" s="112" t="str">
        <x:v>예</x:v>
      </x:c>
      <x:c r="Q484" s="113" t="str">
        <x:v>자동 분류·표본 검토 대상</x:v>
      </x:c>
    </x:row>
    <x:row r="485">
      <x:c r="A485" s="100" t="n">
        <x:v>484</x:v>
      </x:c>
      <x:c r="B485" s="101" t="n">
        <x:v>43776</x:v>
      </x:c>
      <x:c r="C485" s="102" t="n">
        <x:v>2019</x:v>
      </x:c>
      <x:c r="D485" s="103" t="str">
        <x:v>ID-221701388400</x:v>
      </x:c>
      <x:c r="E485" s="112" t="str">
        <x:v>[펌]소설 쭉쭉 써지게 하는 기본 꿀팁 하나 더</x:v>
      </x:c>
      <x:c r="F485" s="112" t="str">
        <x:v>웹소작법</x:v>
      </x:c>
      <x:c r="G485" s="112" t="str">
        <x:v>웹소설 직접</x:v>
      </x:c>
      <x:c r="H485" s="112" t="str">
        <x:v>작법·상업성</x:v>
      </x:c>
      <x:c r="I485" s="112" t="n">
        <x:v>2</x:v>
      </x:c>
      <x:c r="J485" s="112" t="str">
        <x:v>독자, 작법</x:v>
      </x:c>
      <x:c r="K485" s="112" t="str">
        <x:v>재게시</x:v>
      </x:c>
      <x:c r="L485" s="112" t="str">
        <x:v>높음</x:v>
      </x:c>
      <x:c r="M485" s="112" t="str">
        <x:v>제목의 펌/퍼옴 표시</x:v>
      </x:c>
      <x:c r="N485" s="116" t="str">
        <x:v>https://gall.dcinside.com/mgallery/board/view/?id=tgijjdd&amp;no=216805&amp;exception_mode=recommend&amp;page=5</x:v>
      </x:c>
      <x:c r="O485" s="116" t="str">
        <x:v>https://m.blog.naver.com/sntu2010/221701388400</x:v>
      </x:c>
      <x:c r="P485" s="112" t="str">
        <x:v>아니오</x:v>
      </x:c>
      <x:c r="Q485" s="113" t="str">
        <x:v>자동 분류·표본 검토 대상</x:v>
      </x:c>
    </x:row>
    <x:row r="486">
      <x:c r="A486" s="100" t="n">
        <x:v>485</x:v>
      </x:c>
      <x:c r="B486" s="101" t="n">
        <x:v>43776</x:v>
      </x:c>
      <x:c r="C486" s="102" t="n">
        <x:v>2019</x:v>
      </x:c>
      <x:c r="D486" s="103" t="str">
        <x:v>ID-221701387732</x:v>
      </x:c>
      <x:c r="E486" s="112" t="str">
        <x:v>[펌]망생이들 중에는 기본도 없이 바닥에서 헤메면서 쓰는 애들이 있더라</x:v>
      </x:c>
      <x:c r="F486" s="112" t="str">
        <x:v>웹소작법</x:v>
      </x:c>
      <x:c r="G486" s="112" t="str">
        <x:v>웹소설 직접</x:v>
      </x:c>
      <x:c r="H486" s="112" t="str">
        <x:v>작법·상업성</x:v>
      </x:c>
      <x:c r="I486" s="112" t="n">
        <x:v>4</x:v>
      </x:c>
      <x:c r="J486" s="112" t="str">
        <x:v>상업, 독자, 작법</x:v>
      </x:c>
      <x:c r="K486" s="112" t="str">
        <x:v>재게시</x:v>
      </x:c>
      <x:c r="L486" s="112" t="str">
        <x:v>높음</x:v>
      </x:c>
      <x:c r="M486" s="112" t="str">
        <x:v>제목의 펌/퍼옴 표시</x:v>
      </x:c>
      <x:c r="N486" s="116" t="str">
        <x:v>https://gall.dcinside.com/mgallery/board/view/?id=tgijjdd&amp;no=216749&amp;exception_mode=recommend&amp;page=5</x:v>
      </x:c>
      <x:c r="O486" s="116" t="str">
        <x:v>https://m.blog.naver.com/sntu2010/221701387732</x:v>
      </x:c>
      <x:c r="P486" s="112" t="str">
        <x:v>아니오</x:v>
      </x:c>
      <x:c r="Q486" s="113" t="str">
        <x:v>자동 분류·표본 검토 대상</x:v>
      </x:c>
    </x:row>
    <x:row r="487">
      <x:c r="A487" s="100" t="n">
        <x:v>486</x:v>
      </x:c>
      <x:c r="B487" s="101" t="n">
        <x:v>43776</x:v>
      </x:c>
      <x:c r="C487" s="102" t="n">
        <x:v>2019</x:v>
      </x:c>
      <x:c r="D487" s="103" t="str">
        <x:v>ID-221701386892</x:v>
      </x:c>
      <x:c r="E487" s="112" t="str">
        <x:v>[펌]즉각적으로 연참하는 노하우를 알려줄게</x:v>
      </x:c>
      <x:c r="F487" s="112" t="str">
        <x:v>웹소작법</x:v>
      </x:c>
      <x:c r="G487" s="112" t="str">
        <x:v>웹소설 직접</x:v>
      </x:c>
      <x:c r="H487" s="112" t="str">
        <x:v>수익·운영</x:v>
      </x:c>
      <x:c r="I487" s="112" t="n">
        <x:v>20</x:v>
      </x:c>
      <x:c r="J487" s="112" t="str">
        <x:v>연참</x:v>
      </x:c>
      <x:c r="K487" s="112" t="str">
        <x:v>재게시</x:v>
      </x:c>
      <x:c r="L487" s="112" t="str">
        <x:v>높음</x:v>
      </x:c>
      <x:c r="M487" s="112" t="str">
        <x:v>제목의 펌/퍼옴 표시</x:v>
      </x:c>
      <x:c r="N487" s="116" t="str">
        <x:v>https://gall.dcinside.com/mgallery/board/view/?id=tgijjdd&amp;no=215416&amp;exception_mode=recommend&amp;page=5</x:v>
      </x:c>
      <x:c r="O487" s="116" t="str">
        <x:v>https://m.blog.naver.com/sntu2010/221701386892</x:v>
      </x:c>
      <x:c r="P487" s="112" t="str">
        <x:v>예</x:v>
      </x:c>
      <x:c r="Q487" s="113" t="str">
        <x:v>자동 분류·표본 검토 대상</x:v>
      </x:c>
    </x:row>
    <x:row r="488">
      <x:c r="A488" s="100" t="n">
        <x:v>487</x:v>
      </x:c>
      <x:c r="B488" s="101" t="n">
        <x:v>43754</x:v>
      </x:c>
      <x:c r="C488" s="102" t="n">
        <x:v>2019</x:v>
      </x:c>
      <x:c r="D488" s="103" t="str">
        <x:v>ID-221679551938</x:v>
      </x:c>
      <x:c r="E488" s="112" t="str">
        <x:v>[펌]왜 잘 쓴 내 글이 못 쓴 글보다 인기가 없을까?(feat.캐릭터 이입)</x:v>
      </x:c>
      <x:c r="F488" s="112" t="str">
        <x:v>웹소작법</x:v>
      </x:c>
      <x:c r="G488" s="112" t="str">
        <x:v>웹소설 직접</x:v>
      </x:c>
      <x:c r="H488" s="112" t="str">
        <x:v>캐릭터·전개</x:v>
      </x:c>
      <x:c r="I488" s="112" t="n">
        <x:v>25</x:v>
      </x:c>
      <x:c r="J488" s="112" t="str">
        <x:v>캐릭터, 대사, 주인공</x:v>
      </x:c>
      <x:c r="K488" s="112" t="str">
        <x:v>재게시</x:v>
      </x:c>
      <x:c r="L488" s="112" t="str">
        <x:v>높음</x:v>
      </x:c>
      <x:c r="M488" s="112" t="str">
        <x:v>제목의 펌/퍼옴 표시</x:v>
      </x:c>
      <x:c r="N488" s="116" t="str">
        <x:v>https://gall.dcinside.com/mgallery/board/view/?id=tgijjdd&amp;no=213224&amp;exception_mode=recommend&amp;page=1</x:v>
      </x:c>
      <x:c r="O488" s="116" t="str">
        <x:v>https://m.blog.naver.com/sntu2010/221679551938</x:v>
      </x:c>
      <x:c r="P488" s="112" t="str">
        <x:v>예</x:v>
      </x:c>
      <x:c r="Q488" s="113" t="str">
        <x:v>자동 분류·표본 검토 대상</x:v>
      </x:c>
    </x:row>
    <x:row r="489">
      <x:c r="A489" s="100" t="n">
        <x:v>488</x:v>
      </x:c>
      <x:c r="B489" s="101" t="n">
        <x:v>43754</x:v>
      </x:c>
      <x:c r="C489" s="102" t="n">
        <x:v>2019</x:v>
      </x:c>
      <x:c r="D489" s="103" t="str">
        <x:v>ID-221679545151</x:v>
      </x:c>
      <x:c r="E489" s="112" t="str">
        <x:v>[펌] BJ대마도사가 소설조무사니 어쩌니 하며 념글에서 까던데</x:v>
      </x:c>
      <x:c r="F489" s="112" t="str">
        <x:v>웹소작법</x:v>
      </x:c>
      <x:c r="G489" s="112" t="str">
        <x:v>웹소설 직접</x:v>
      </x:c>
      <x:c r="H489" s="112" t="str">
        <x:v>작법·상업성</x:v>
      </x:c>
      <x:c r="I489" s="112" t="n">
        <x:v>6</x:v>
      </x:c>
      <x:c r="J489" s="112" t="str">
        <x:v>독자, 재미, 묘사, 작법</x:v>
      </x:c>
      <x:c r="K489" s="112" t="str">
        <x:v>재게시</x:v>
      </x:c>
      <x:c r="L489" s="112" t="str">
        <x:v>높음</x:v>
      </x:c>
      <x:c r="M489" s="112" t="str">
        <x:v>제목의 펌/퍼옴 표시</x:v>
      </x:c>
      <x:c r="N489" s="116" t="str">
        <x:v>https://gall.dcinside.com/mgallery/board/view/?id=tgijjdd&amp;no=213467&amp;page=1</x:v>
      </x:c>
      <x:c r="O489" s="116" t="str">
        <x:v>https://m.blog.naver.com/sntu2010/221679545151</x:v>
      </x:c>
      <x:c r="P489" s="112" t="str">
        <x:v>예</x:v>
      </x:c>
      <x:c r="Q489" s="113" t="str">
        <x:v>자동 분류·표본 검토 대상</x:v>
      </x:c>
    </x:row>
    <x:row r="490">
      <x:c r="A490" s="100" t="n">
        <x:v>489</x:v>
      </x:c>
      <x:c r="B490" s="101" t="n">
        <x:v>43751</x:v>
      </x:c>
      <x:c r="C490" s="102" t="n">
        <x:v>2019</x:v>
      </x:c>
      <x:c r="D490" s="103" t="str">
        <x:v>ID-221676423137</x:v>
      </x:c>
      <x:c r="E490" s="112" t="str">
        <x:v>[펌]웹소설에 개연성은 필요한가? 필요하지 않은가?</x:v>
      </x:c>
      <x:c r="F490" s="112" t="str">
        <x:v>웹소작법</x:v>
      </x:c>
      <x:c r="G490" s="112" t="str">
        <x:v>웹소설 직접</x:v>
      </x:c>
      <x:c r="H490" s="112" t="str">
        <x:v>캐릭터·전개</x:v>
      </x:c>
      <x:c r="I490" s="112" t="n">
        <x:v>8</x:v>
      </x:c>
      <x:c r="J490" s="112" t="str">
        <x:v>주인공, 전개</x:v>
      </x:c>
      <x:c r="K490" s="112" t="str">
        <x:v>재게시</x:v>
      </x:c>
      <x:c r="L490" s="112" t="str">
        <x:v>높음</x:v>
      </x:c>
      <x:c r="M490" s="112" t="str">
        <x:v>제목의 펌/퍼옴 표시</x:v>
      </x:c>
      <x:c r="N490" s="116" t="str">
        <x:v>https://gall.dcinside.com/mgallery/board/view/?id=tgijjdd&amp;no=211758&amp;exception_mode=recommend&amp;page=1</x:v>
      </x:c>
      <x:c r="O490" s="116" t="str">
        <x:v>https://m.blog.naver.com/sntu2010/221676423137</x:v>
      </x:c>
      <x:c r="P490" s="112" t="str">
        <x:v>예</x:v>
      </x:c>
      <x:c r="Q490" s="113" t="str">
        <x:v>자동 분류·표본 검토 대상</x:v>
      </x:c>
    </x:row>
    <x:row r="491">
      <x:c r="A491" s="100" t="n">
        <x:v>490</x:v>
      </x:c>
      <x:c r="B491" s="101" t="n">
        <x:v>43751</x:v>
      </x:c>
      <x:c r="C491" s="102" t="n">
        <x:v>2019</x:v>
      </x:c>
      <x:c r="D491" s="103" t="str">
        <x:v>ID-221676422287</x:v>
      </x:c>
      <x:c r="E491" s="112" t="str">
        <x:v>[펌]몇질 완결 내고 느낀 점 위주</x:v>
      </x:c>
      <x:c r="F491" s="112" t="str">
        <x:v>웹소작법</x:v>
      </x:c>
      <x:c r="G491" s="112" t="str">
        <x:v>웹소설 직접</x:v>
      </x:c>
      <x:c r="H491" s="112" t="str">
        <x:v>플랫폼·투고·계약</x:v>
      </x:c>
      <x:c r="I491" s="112" t="n">
        <x:v>6</x:v>
      </x:c>
      <x:c r="J491" s="112" t="str">
        <x:v>매니지, 계약, 문피아, 플랫폼, 카카오, 네이버</x:v>
      </x:c>
      <x:c r="K491" s="112" t="str">
        <x:v>재게시</x:v>
      </x:c>
      <x:c r="L491" s="112" t="str">
        <x:v>높음</x:v>
      </x:c>
      <x:c r="M491" s="112" t="str">
        <x:v>제목의 펌/퍼옴 표시</x:v>
      </x:c>
      <x:c r="N491" s="116" t="str">
        <x:v>https://gall.dcinside.com/mgallery/board/view/?id=tgijjdd&amp;no=211849&amp;exception_mode=recommend&amp;page=1</x:v>
      </x:c>
      <x:c r="O491" s="116" t="str">
        <x:v>https://m.blog.naver.com/sntu2010/221676422287</x:v>
      </x:c>
      <x:c r="P491" s="112" t="str">
        <x:v>예</x:v>
      </x:c>
      <x:c r="Q491" s="113" t="str">
        <x:v>자동 분류·표본 검토 대상</x:v>
      </x:c>
    </x:row>
    <x:row r="492">
      <x:c r="A492" s="100" t="n">
        <x:v>491</x:v>
      </x:c>
      <x:c r="B492" s="101" t="n">
        <x:v>43751</x:v>
      </x:c>
      <x:c r="C492" s="102" t="n">
        <x:v>2019</x:v>
      </x:c>
      <x:c r="D492" s="103" t="str">
        <x:v>ID-221676420843</x:v>
      </x:c>
      <x:c r="E492" s="112" t="str">
        <x:v>[펌]감평해드리면서 얻은 팁(보상의 설정) 적고 갑니다.</x:v>
      </x:c>
      <x:c r="F492" s="112" t="str">
        <x:v>웹소작법</x:v>
      </x:c>
      <x:c r="G492" s="112" t="str">
        <x:v>웹소설 직접</x:v>
      </x:c>
      <x:c r="H492" s="112" t="str">
        <x:v>작법·상업성</x:v>
      </x:c>
      <x:c r="I492" s="112" t="n">
        <x:v>22</x:v>
      </x:c>
      <x:c r="J492" s="112" t="str">
        <x:v>설정, 재미, 작법</x:v>
      </x:c>
      <x:c r="K492" s="112" t="str">
        <x:v>재게시</x:v>
      </x:c>
      <x:c r="L492" s="112" t="str">
        <x:v>높음</x:v>
      </x:c>
      <x:c r="M492" s="112" t="str">
        <x:v>제목의 펌/퍼옴 표시</x:v>
      </x:c>
      <x:c r="N492" s="116" t="str">
        <x:v>https://gall.dcinside.com/mgallery/board/view/?id=tgijjdd&amp;no=211888&amp;exception_mode=recommend&amp;page=1</x:v>
      </x:c>
      <x:c r="O492" s="116" t="str">
        <x:v>https://m.blog.naver.com/sntu2010/221676420843</x:v>
      </x:c>
      <x:c r="P492" s="112" t="str">
        <x:v>예</x:v>
      </x:c>
      <x:c r="Q492" s="113" t="str">
        <x:v>자동 분류·표본 검토 대상</x:v>
      </x:c>
    </x:row>
    <x:row r="493">
      <x:c r="A493" s="100" t="n">
        <x:v>492</x:v>
      </x:c>
      <x:c r="B493" s="101" t="n">
        <x:v>43748</x:v>
      </x:c>
      <x:c r="C493" s="102" t="n">
        <x:v>2019</x:v>
      </x:c>
      <x:c r="D493" s="103" t="str">
        <x:v>ID-221674161761</x:v>
      </x:c>
      <x:c r="E493" s="112" t="str">
        <x:v>[펌]스크리브너가 파고들면 최고다.tip</x:v>
      </x:c>
      <x:c r="F493" s="112" t="str">
        <x:v>웹소작법</x:v>
      </x:c>
      <x:c r="G493" s="112" t="str">
        <x:v>웹소설 직접</x:v>
      </x:c>
      <x:c r="H493" s="112" t="str">
        <x:v>작법·상업성</x:v>
      </x:c>
      <x:c r="I493" s="112" t="n">
        <x:v>2</x:v>
      </x:c>
      <x:c r="J493" s="112" t="str">
        <x:v>제목, 작법</x:v>
      </x:c>
      <x:c r="K493" s="112" t="str">
        <x:v>재게시</x:v>
      </x:c>
      <x:c r="L493" s="112" t="str">
        <x:v>높음</x:v>
      </x:c>
      <x:c r="M493" s="112" t="str">
        <x:v>제목의 펌/퍼옴 표시</x:v>
      </x:c>
      <x:c r="N493" s="116" t="str">
        <x:v>https://gall.dcinside.com/mgallery/board/view/?id=tgijjdd&amp;no=210421&amp;s_type=search_all&amp;s_keyword=%EC%8A%A4%ED%81%AC%EB%A6%AC%EB%B8%8C%EB%84%88&amp;page=1</x:v>
      </x:c>
      <x:c r="O493" s="116" t="str">
        <x:v>https://m.blog.naver.com/sntu2010/221674161761</x:v>
      </x:c>
      <x:c r="P493" s="112" t="str">
        <x:v>아니오</x:v>
      </x:c>
      <x:c r="Q493" s="113" t="str">
        <x:v>자동 분류·표본 검토 대상</x:v>
      </x:c>
    </x:row>
    <x:row r="494">
      <x:c r="A494" s="100" t="n">
        <x:v>493</x:v>
      </x:c>
      <x:c r="B494" s="101" t="n">
        <x:v>43747</x:v>
      </x:c>
      <x:c r="C494" s="102" t="n">
        <x:v>2019</x:v>
      </x:c>
      <x:c r="D494" s="103" t="str">
        <x:v>ID-221672935717</x:v>
      </x:c>
      <x:c r="E494" s="112" t="str">
        <x:v>[펌]웹소설 모작 훈련</x:v>
      </x:c>
      <x:c r="F494" s="112" t="str">
        <x:v>웹소작법</x:v>
      </x:c>
      <x:c r="G494" s="112" t="str">
        <x:v>웹소설 직접</x:v>
      </x:c>
      <x:c r="H494" s="112" t="str">
        <x:v>캐릭터·전개</x:v>
      </x:c>
      <x:c r="I494" s="112" t="n">
        <x:v>6</x:v>
      </x:c>
      <x:c r="J494" s="112" t="str">
        <x:v>전개, 플롯, 캐릭터</x:v>
      </x:c>
      <x:c r="K494" s="112" t="str">
        <x:v>재게시</x:v>
      </x:c>
      <x:c r="L494" s="112" t="str">
        <x:v>높음</x:v>
      </x:c>
      <x:c r="M494" s="112" t="str">
        <x:v>제목의 펌/퍼옴 표시</x:v>
      </x:c>
      <x:c r="N494" s="116" t="str">
        <x:v>https://gall.dcinside.com/mgallery/board/view/?id=tgijjdd&amp;no=209066&amp;exception_mode=recommend&amp;page=1</x:v>
      </x:c>
      <x:c r="O494" s="116" t="str">
        <x:v>https://m.blog.naver.com/sntu2010/221672935717</x:v>
      </x:c>
      <x:c r="P494" s="112" t="str">
        <x:v>예</x:v>
      </x:c>
      <x:c r="Q494" s="113" t="str">
        <x:v>자동 분류·표본 검토 대상</x:v>
      </x:c>
    </x:row>
    <x:row r="495">
      <x:c r="A495" s="100" t="n">
        <x:v>494</x:v>
      </x:c>
      <x:c r="B495" s="101" t="n">
        <x:v>43747</x:v>
      </x:c>
      <x:c r="C495" s="102" t="n">
        <x:v>2019</x:v>
      </x:c>
      <x:c r="D495" s="103" t="str">
        <x:v>ID-221672927617</x:v>
      </x:c>
      <x:c r="E495" s="112" t="str">
        <x:v>[펌]옛날에 메모장에 저장해 뒀던 장르소설 관련 글</x:v>
      </x:c>
      <x:c r="F495" s="112" t="str">
        <x:v>웹소작법</x:v>
      </x:c>
      <x:c r="G495" s="112" t="str">
        <x:v>웹소설 직접</x:v>
      </x:c>
      <x:c r="H495" s="112" t="str">
        <x:v>작법·상업성</x:v>
      </x:c>
      <x:c r="I495" s="112" t="n">
        <x:v>28</x:v>
      </x:c>
      <x:c r="J495" s="112" t="str">
        <x:v>장르, 재미, 독자, 제목, 작법</x:v>
      </x:c>
      <x:c r="K495" s="112" t="str">
        <x:v>재게시</x:v>
      </x:c>
      <x:c r="L495" s="112" t="str">
        <x:v>높음</x:v>
      </x:c>
      <x:c r="M495" s="112" t="str">
        <x:v>제목의 펌/퍼옴 표시</x:v>
      </x:c>
      <x:c r="N495" s="116" t="str">
        <x:v>https://gall.dcinside.com/mgallery/board/view/?id=tgijjdd&amp;no=205533&amp;s_type=search_all&amp;s_keyword=%EB%AA%A9%EB%A7%88&amp;page=1</x:v>
      </x:c>
      <x:c r="O495" s="116" t="str">
        <x:v>https://m.blog.naver.com/sntu2010/221672927617</x:v>
      </x:c>
      <x:c r="P495" s="112" t="str">
        <x:v>예</x:v>
      </x:c>
      <x:c r="Q495" s="113" t="str">
        <x:v>자동 분류·표본 검토 대상</x:v>
      </x:c>
    </x:row>
    <x:row r="496">
      <x:c r="A496" s="100" t="n">
        <x:v>495</x:v>
      </x:c>
      <x:c r="B496" s="101" t="n">
        <x:v>43739</x:v>
      </x:c>
      <x:c r="C496" s="102" t="n">
        <x:v>2019</x:v>
      </x:c>
      <x:c r="D496" s="103" t="str">
        <x:v>ID-221664613075</x:v>
      </x:c>
      <x:c r="E496" s="112" t="str">
        <x:v>[펌]글먹하는 세가지 방법</x:v>
      </x:c>
      <x:c r="F496" s="112" t="str">
        <x:v>웹소작법</x:v>
      </x:c>
      <x:c r="G496" s="112" t="str">
        <x:v>웹소설 직접</x:v>
      </x:c>
      <x:c r="H496" s="112" t="str">
        <x:v>캐릭터·전개</x:v>
      </x:c>
      <x:c r="I496" s="112" t="n">
        <x:v>8</x:v>
      </x:c>
      <x:c r="J496" s="112" t="str">
        <x:v>플롯, 에피소드, 캐릭터, 사건</x:v>
      </x:c>
      <x:c r="K496" s="112" t="str">
        <x:v>재게시</x:v>
      </x:c>
      <x:c r="L496" s="112" t="str">
        <x:v>높음</x:v>
      </x:c>
      <x:c r="M496" s="112" t="str">
        <x:v>제목의 펌/퍼옴 표시</x:v>
      </x:c>
      <x:c r="N496" s="116" t="str">
        <x:v>https://gall.dcinside.com/mgallery/board/view/?id=tgijjdd&amp;no=205660&amp;search_pos=-200647&amp;s_type=search_name&amp;s_keyword=%EA%BF%80%ED%8C%81%EB%9F%AC&amp;page=1</x:v>
      </x:c>
      <x:c r="O496" s="116" t="str">
        <x:v>https://m.blog.naver.com/sntu2010/221664613075</x:v>
      </x:c>
      <x:c r="P496" s="112" t="str">
        <x:v>예</x:v>
      </x:c>
      <x:c r="Q496" s="113" t="str">
        <x:v>자동 분류·표본 검토 대상</x:v>
      </x:c>
    </x:row>
    <x:row r="497">
      <x:c r="A497" s="100" t="n">
        <x:v>496</x:v>
      </x:c>
      <x:c r="B497" s="101" t="n">
        <x:v>43739</x:v>
      </x:c>
      <x:c r="C497" s="102" t="n">
        <x:v>2019</x:v>
      </x:c>
      <x:c r="D497" s="103" t="str">
        <x:v>ID-221664603576</x:v>
      </x:c>
      <x:c r="E497" s="112" t="str">
        <x:v>[펌]웹소판 꿀팁쓰고 간다</x:v>
      </x:c>
      <x:c r="F497" s="112" t="str">
        <x:v>웹소작법</x:v>
      </x:c>
      <x:c r="G497" s="112" t="str">
        <x:v>웹소설 직접</x:v>
      </x:c>
      <x:c r="H497" s="112" t="str">
        <x:v>작법·상업성</x:v>
      </x:c>
      <x:c r="I497" s="112" t="n">
        <x:v>2</x:v>
      </x:c>
      <x:c r="J497" s="112" t="str">
        <x:v>독자, 작법</x:v>
      </x:c>
      <x:c r="K497" s="112" t="str">
        <x:v>재게시</x:v>
      </x:c>
      <x:c r="L497" s="112" t="str">
        <x:v>높음</x:v>
      </x:c>
      <x:c r="M497" s="112" t="str">
        <x:v>제목의 펌/퍼옴 표시</x:v>
      </x:c>
      <x:c r="N497" s="116" t="str">
        <x:v>https://gall.dcinside.com/mgallery/board/view/?id=tgijjdd&amp;no=205548&amp;exception_mode=recommend&amp;page=1</x:v>
      </x:c>
      <x:c r="O497" s="116" t="str">
        <x:v>https://m.blog.naver.com/sntu2010/221664603576</x:v>
      </x:c>
      <x:c r="P497" s="112" t="str">
        <x:v>아니오</x:v>
      </x:c>
      <x:c r="Q497" s="113" t="str">
        <x:v>자동 분류·표본 검토 대상</x:v>
      </x:c>
    </x:row>
    <x:row r="498">
      <x:c r="A498" s="100" t="n">
        <x:v>497</x:v>
      </x:c>
      <x:c r="B498" s="101" t="n">
        <x:v>43739</x:v>
      </x:c>
      <x:c r="C498" s="102" t="n">
        <x:v>2019</x:v>
      </x:c>
      <x:c r="D498" s="103" t="str">
        <x:v>ID-221664601911</x:v>
      </x:c>
      <x:c r="E498" s="112" t="str">
        <x:v>[펌]상태창과 패턴에 관한 지극히 개인적인 생각</x:v>
      </x:c>
      <x:c r="F498" s="112" t="str">
        <x:v>웹소작법</x:v>
      </x:c>
      <x:c r="G498" s="112" t="str">
        <x:v>웹소설 직접</x:v>
      </x:c>
      <x:c r="H498" s="112" t="str">
        <x:v>작법·상업성</x:v>
      </x:c>
      <x:c r="I498" s="112" t="n">
        <x:v>4</x:v>
      </x:c>
      <x:c r="J498" s="112" t="str">
        <x:v>독자, 작법</x:v>
      </x:c>
      <x:c r="K498" s="112" t="str">
        <x:v>재게시</x:v>
      </x:c>
      <x:c r="L498" s="112" t="str">
        <x:v>높음</x:v>
      </x:c>
      <x:c r="M498" s="112" t="str">
        <x:v>제목의 펌/퍼옴 표시</x:v>
      </x:c>
      <x:c r="N498" s="116" t="str">
        <x:v>https://gall.dcinside.com/mgallery/board/view/?id=tgijjdd&amp;no=205404&amp;exception_mode=recommend&amp;page=1</x:v>
      </x:c>
      <x:c r="O498" s="116" t="str">
        <x:v>https://m.blog.naver.com/sntu2010/221664601911</x:v>
      </x:c>
      <x:c r="P498" s="112" t="str">
        <x:v>아니오</x:v>
      </x:c>
      <x:c r="Q498" s="113" t="str">
        <x:v>자동 분류·표본 검토 대상</x:v>
      </x:c>
    </x:row>
    <x:row r="499">
      <x:c r="A499" s="100" t="n">
        <x:v>498</x:v>
      </x:c>
      <x:c r="B499" s="101" t="n">
        <x:v>43739</x:v>
      </x:c>
      <x:c r="C499" s="102" t="n">
        <x:v>2019</x:v>
      </x:c>
      <x:c r="D499" s="103" t="str">
        <x:v>ID-221664601358</x:v>
      </x:c>
      <x:c r="E499" s="112" t="str">
        <x:v>[펌]내가 웹연갤에서 젤 도움 받은 글 올릴 떄가 됐네</x:v>
      </x:c>
      <x:c r="F499" s="112" t="str">
        <x:v>웹소작법</x:v>
      </x:c>
      <x:c r="G499" s="112" t="str">
        <x:v>웹소설 직접</x:v>
      </x:c>
      <x:c r="H499" s="112" t="str">
        <x:v>작법·상업성</x:v>
      </x:c>
      <x:c r="I499" s="112" t="n">
        <x:v>2</x:v>
      </x:c>
      <x:c r="J499" s="112" t="str">
        <x:v>글쓰기, 작법</x:v>
      </x:c>
      <x:c r="K499" s="112" t="str">
        <x:v>재게시</x:v>
      </x:c>
      <x:c r="L499" s="112" t="str">
        <x:v>높음</x:v>
      </x:c>
      <x:c r="M499" s="112" t="str">
        <x:v>제목의 펌/퍼옴 표시</x:v>
      </x:c>
      <x:c r="N499" s="116" t="str">
        <x:v>https://gall.dcinside.com/mgallery/board/view/?id=tgijjdd&amp;no=205350&amp;exception_mode=recommend&amp;page=1</x:v>
      </x:c>
      <x:c r="O499" s="116" t="str">
        <x:v>https://m.blog.naver.com/sntu2010/221664601358</x:v>
      </x:c>
      <x:c r="P499" s="112" t="str">
        <x:v>아니오</x:v>
      </x:c>
      <x:c r="Q499" s="113" t="str">
        <x:v>자동 분류·표본 검토 대상</x:v>
      </x:c>
    </x:row>
    <x:row r="500">
      <x:c r="A500" s="100" t="n">
        <x:v>499</x:v>
      </x:c>
      <x:c r="B500" s="101" t="n">
        <x:v>43732</x:v>
      </x:c>
      <x:c r="C500" s="102" t="n">
        <x:v>2019</x:v>
      </x:c>
      <x:c r="D500" s="103" t="str">
        <x:v>ID-221658581737</x:v>
      </x:c>
      <x:c r="E500" s="112" t="str">
        <x:v>[펌]노쓰우드 작가님의 글쓰기 Q&amp;A</x:v>
      </x:c>
      <x:c r="F500" s="112" t="str">
        <x:v>웹소작법</x:v>
      </x:c>
      <x:c r="G500" s="112" t="str">
        <x:v>웹소설 직접</x:v>
      </x:c>
      <x:c r="H500" s="112" t="str">
        <x:v>작법·상업성</x:v>
      </x:c>
      <x:c r="I500" s="112" t="n">
        <x:v>25</x:v>
      </x:c>
      <x:c r="J500" s="112" t="str">
        <x:v>글쓰기, 독자, 기대감, 소재, 작법</x:v>
      </x:c>
      <x:c r="K500" s="112" t="str">
        <x:v>재게시</x:v>
      </x:c>
      <x:c r="L500" s="112" t="str">
        <x:v>높음</x:v>
      </x:c>
      <x:c r="M500" s="112" t="str">
        <x:v>제목의 펌/퍼옴 표시</x:v>
      </x:c>
      <x:c r="N500" s="116" t="str">
        <x:v>https://gall.dcinside.com/mgallery/board/view/?id=tgijjdd&amp;no=202812&amp;s_type=search_all&amp;s_keyword=%EB%85%B8%EC%93%B0%EC%9A%B0%EB%93%9C&amp;page=1</x:v>
      </x:c>
      <x:c r="O500" s="116" t="str">
        <x:v>https://m.blog.naver.com/sntu2010/221658581737</x:v>
      </x:c>
      <x:c r="P500" s="112" t="str">
        <x:v>예</x:v>
      </x:c>
      <x:c r="Q500" s="113" t="str">
        <x:v>자동 분류·표본 검토 대상</x:v>
      </x:c>
    </x:row>
    <x:row r="501">
      <x:c r="A501" s="100" t="n">
        <x:v>500</x:v>
      </x:c>
      <x:c r="B501" s="101" t="n">
        <x:v>43732</x:v>
      </x:c>
      <x:c r="C501" s="102" t="n">
        <x:v>2019</x:v>
      </x:c>
      <x:c r="D501" s="103" t="str">
        <x:v>ID-221658581123</x:v>
      </x:c>
      <x:c r="E501" s="112" t="str">
        <x:v>[펌]라이벌, 숙적 안넣는게 웹소는 분량이 많아서 는 좀 이상한 말 같은데</x:v>
      </x:c>
      <x:c r="F501" s="112" t="str">
        <x:v>웹소작법</x:v>
      </x:c>
      <x:c r="G501" s="112" t="str">
        <x:v>웹소설 직접</x:v>
      </x:c>
      <x:c r="H501" s="112" t="str">
        <x:v>캐릭터·전개</x:v>
      </x:c>
      <x:c r="I501" s="112" t="n">
        <x:v>8</x:v>
      </x:c>
      <x:c r="J501" s="112" t="str">
        <x:v>악역, 캐릭터, 사건, 주인공, 전개</x:v>
      </x:c>
      <x:c r="K501" s="112" t="str">
        <x:v>재게시</x:v>
      </x:c>
      <x:c r="L501" s="112" t="str">
        <x:v>높음</x:v>
      </x:c>
      <x:c r="M501" s="112" t="str">
        <x:v>제목의 펌/퍼옴 표시</x:v>
      </x:c>
      <x:c r="N501" s="116" t="str">
        <x:v>https://gall.dcinside.com/mgallery/board/view/?id=tgijjdd&amp;no=196811&amp;exception_mode=recommend&amp;page=3</x:v>
      </x:c>
      <x:c r="O501" s="116" t="str">
        <x:v>https://m.blog.naver.com/sntu2010/221658581123</x:v>
      </x:c>
      <x:c r="P501" s="112" t="str">
        <x:v>예</x:v>
      </x:c>
      <x:c r="Q501" s="113" t="str">
        <x:v>자동 분류·표본 검토 대상</x:v>
      </x:c>
    </x:row>
    <x:row r="502">
      <x:c r="A502" s="100" t="n">
        <x:v>501</x:v>
      </x:c>
      <x:c r="B502" s="101" t="n">
        <x:v>43732</x:v>
      </x:c>
      <x:c r="C502" s="102" t="n">
        <x:v>2019</x:v>
      </x:c>
      <x:c r="D502" s="103" t="str">
        <x:v>ID-221658579478</x:v>
      </x:c>
      <x:c r="E502" s="112" t="str">
        <x:v>[펌]처음 써보는 TIP글 + 예시 추가</x:v>
      </x:c>
      <x:c r="F502" s="112" t="str">
        <x:v>웹소작법</x:v>
      </x:c>
      <x:c r="G502" s="112" t="str">
        <x:v>웹소설 직접</x:v>
      </x:c>
      <x:c r="H502" s="112" t="str">
        <x:v>작법·상업성</x:v>
      </x:c>
      <x:c r="I502" s="112" t="n">
        <x:v>3</x:v>
      </x:c>
      <x:c r="J502" s="112" t="str">
        <x:v>문장, 작법</x:v>
      </x:c>
      <x:c r="K502" s="112" t="str">
        <x:v>재게시</x:v>
      </x:c>
      <x:c r="L502" s="112" t="str">
        <x:v>높음</x:v>
      </x:c>
      <x:c r="M502" s="112" t="str">
        <x:v>제목의 펌/퍼옴 표시</x:v>
      </x:c>
      <x:c r="N502" s="116" t="str">
        <x:v>https://gall.dcinside.com/mgallery/board/view/?id=tgijjdd&amp;no=197012&amp;exception_mode=recommend&amp;page=3</x:v>
      </x:c>
      <x:c r="O502" s="116" t="str">
        <x:v>https://m.blog.naver.com/sntu2010/221658579478</x:v>
      </x:c>
      <x:c r="P502" s="112" t="str">
        <x:v>아니오</x:v>
      </x:c>
      <x:c r="Q502" s="113" t="str">
        <x:v>자동 분류·표본 검토 대상</x:v>
      </x:c>
    </x:row>
    <x:row r="503">
      <x:c r="A503" s="100" t="n">
        <x:v>502</x:v>
      </x:c>
      <x:c r="B503" s="101" t="n">
        <x:v>43732</x:v>
      </x:c>
      <x:c r="C503" s="102" t="n">
        <x:v>2019</x:v>
      </x:c>
      <x:c r="D503" s="103" t="str">
        <x:v>ID-221658577759</x:v>
      </x:c>
      <x:c r="E503" s="112" t="str">
        <x:v>[펌]디다트글 보면 단순한 설명 글은 아님.</x:v>
      </x:c>
      <x:c r="F503" s="112" t="str">
        <x:v>웹소작법</x:v>
      </x:c>
      <x:c r="G503" s="112" t="str">
        <x:v>웹소설 직접</x:v>
      </x:c>
      <x:c r="H503" s="112" t="str">
        <x:v>작법·상업성</x:v>
      </x:c>
      <x:c r="I503" s="112" t="n">
        <x:v>8</x:v>
      </x:c>
      <x:c r="J503" s="112" t="str">
        <x:v>문장, 사이다, 고구마, 작법</x:v>
      </x:c>
      <x:c r="K503" s="112" t="str">
        <x:v>재게시</x:v>
      </x:c>
      <x:c r="L503" s="112" t="str">
        <x:v>높음</x:v>
      </x:c>
      <x:c r="M503" s="112" t="str">
        <x:v>제목의 펌/퍼옴 표시</x:v>
      </x:c>
      <x:c r="N503" s="116" t="str">
        <x:v>https://gall.dcinside.com/mgallery/board/view/?id=tgijjdd&amp;no=192027&amp;exception_mode=recommend&amp;page=4</x:v>
      </x:c>
      <x:c r="O503" s="116" t="str">
        <x:v>https://m.blog.naver.com/sntu2010/221658577759</x:v>
      </x:c>
      <x:c r="P503" s="112" t="str">
        <x:v>예</x:v>
      </x:c>
      <x:c r="Q503" s="113" t="str">
        <x:v>자동 분류·표본 검토 대상</x:v>
      </x:c>
    </x:row>
    <x:row r="504">
      <x:c r="A504" s="100" t="n">
        <x:v>503</x:v>
      </x:c>
      <x:c r="B504" s="101" t="n">
        <x:v>43732</x:v>
      </x:c>
      <x:c r="C504" s="102" t="n">
        <x:v>2019</x:v>
      </x:c>
      <x:c r="D504" s="103" t="str">
        <x:v>ID-221658573728</x:v>
      </x:c>
      <x:c r="E504" s="112" t="str">
        <x:v>[펌]웹연갤러들에게 작법에 대해 딱 결론내려줌</x:v>
      </x:c>
      <x:c r="F504" s="112" t="str">
        <x:v>웹소작법</x:v>
      </x:c>
      <x:c r="G504" s="112" t="str">
        <x:v>웹소설 직접</x:v>
      </x:c>
      <x:c r="H504" s="112" t="str">
        <x:v>작법·상업성</x:v>
      </x:c>
      <x:c r="I504" s="112" t="n">
        <x:v>28</x:v>
      </x:c>
      <x:c r="J504" s="112" t="str">
        <x:v>작법</x:v>
      </x:c>
      <x:c r="K504" s="112" t="str">
        <x:v>재게시</x:v>
      </x:c>
      <x:c r="L504" s="112" t="str">
        <x:v>높음</x:v>
      </x:c>
      <x:c r="M504" s="112" t="str">
        <x:v>제목의 펌/퍼옴 표시</x:v>
      </x:c>
      <x:c r="N504" s="116" t="str">
        <x:v>https://gall.dcinside.com/mgallery/board/view/?id=tgijjdd&amp;no=196404&amp;exception_mode=recommend&amp;page=3</x:v>
      </x:c>
      <x:c r="O504" s="116" t="str">
        <x:v>https://m.blog.naver.com/sntu2010/221658573728</x:v>
      </x:c>
      <x:c r="P504" s="112" t="str">
        <x:v>예</x:v>
      </x:c>
      <x:c r="Q504" s="113" t="str">
        <x:v>자동 분류·표본 검토 대상</x:v>
      </x:c>
    </x:row>
    <x:row r="505">
      <x:c r="A505" s="100" t="n">
        <x:v>504</x:v>
      </x:c>
      <x:c r="B505" s="101" t="n">
        <x:v>43732</x:v>
      </x:c>
      <x:c r="C505" s="102" t="n">
        <x:v>2019</x:v>
      </x:c>
      <x:c r="D505" s="103" t="str">
        <x:v>ID-221658572482</x:v>
      </x:c>
      <x:c r="E505" s="112" t="str">
        <x:v>[펌]기성이 전해 주는 글먹 팁</x:v>
      </x:c>
      <x:c r="F505" s="112" t="str">
        <x:v>웹소작법</x:v>
      </x:c>
      <x:c r="G505" s="112" t="str">
        <x:v>웹소설 직접</x:v>
      </x:c>
      <x:c r="H505" s="112" t="str">
        <x:v>캐릭터·전개</x:v>
      </x:c>
      <x:c r="I505" s="112" t="n">
        <x:v>2</x:v>
      </x:c>
      <x:c r="J505" s="112" t="str">
        <x:v>전개</x:v>
      </x:c>
      <x:c r="K505" s="112" t="str">
        <x:v>재게시</x:v>
      </x:c>
      <x:c r="L505" s="112" t="str">
        <x:v>높음</x:v>
      </x:c>
      <x:c r="M505" s="112" t="str">
        <x:v>제목의 펌/퍼옴 표시</x:v>
      </x:c>
      <x:c r="N505" s="116" t="str">
        <x:v>https://gall.dcinside.com/mgallery/board/view?id=tgijjdd&amp;no=155823</x:v>
      </x:c>
      <x:c r="O505" s="116" t="str">
        <x:v>https://m.blog.naver.com/sntu2010/221658572482</x:v>
      </x:c>
      <x:c r="P505" s="112" t="str">
        <x:v>아니오</x:v>
      </x:c>
      <x:c r="Q505" s="113" t="str">
        <x:v>자동 분류·표본 검토 대상</x:v>
      </x:c>
    </x:row>
    <x:row r="506">
      <x:c r="A506" s="100" t="n">
        <x:v>505</x:v>
      </x:c>
      <x:c r="B506" s="101" t="n">
        <x:v>43710</x:v>
      </x:c>
      <x:c r="C506" s="102" t="n">
        <x:v>2019</x:v>
      </x:c>
      <x:c r="D506" s="103" t="str">
        <x:v>ID-221636509288</x:v>
      </x:c>
      <x:c r="E506" s="112" t="str">
        <x:v>시점 변화를 능숙하게 사용해보자!</x:v>
      </x:c>
      <x:c r="F506" s="112" t="str">
        <x:v>웹소생각</x:v>
      </x:c>
      <x:c r="G506" s="112" t="str">
        <x:v>웹소설 직접</x:v>
      </x:c>
      <x:c r="H506" s="112" t="str">
        <x:v>캐릭터·전개</x:v>
      </x:c>
      <x:c r="I506" s="112" t="n">
        <x:v>28</x:v>
      </x:c>
      <x:c r="J506" s="112" t="str">
        <x:v>시점, 주인공, 인물</x:v>
      </x:c>
      <x:c r="K506" s="112" t="str">
        <x:v>본인 경험담 추정</x:v>
      </x:c>
      <x:c r="L506" s="112" t="str">
        <x:v>중간</x:v>
      </x:c>
      <x:c r="M506" s="112" t="str">
        <x:v>1인칭 경험·작품·계약 표현</x:v>
      </x:c>
      <x:c r="N506" s="116" t="str"/>
      <x:c r="O506" s="116" t="str">
        <x:v>https://m.blog.naver.com/sntu2010/221636509288</x:v>
      </x:c>
      <x:c r="P506" s="112" t="str">
        <x:v>예</x:v>
      </x:c>
      <x:c r="Q506" s="113" t="str">
        <x:v>자동 분류·표본 검토 대상</x:v>
      </x:c>
    </x:row>
    <x:row r="507">
      <x:c r="A507" s="100" t="n">
        <x:v>506</x:v>
      </x:c>
      <x:c r="B507" s="101" t="n">
        <x:v>43709</x:v>
      </x:c>
      <x:c r="C507" s="102" t="n">
        <x:v>2019</x:v>
      </x:c>
      <x:c r="D507" s="103" t="str">
        <x:v>ID-221635187067</x:v>
      </x:c>
      <x:c r="E507" s="112" t="str">
        <x:v>나 혼자만 레벨업의 작법 노하우를 알아보자!</x:v>
      </x:c>
      <x:c r="F507" s="112" t="str">
        <x:v>웹소생각</x:v>
      </x:c>
      <x:c r="G507" s="112" t="str">
        <x:v>웹소설 직접</x:v>
      </x:c>
      <x:c r="H507" s="112" t="str">
        <x:v>작법·상업성</x:v>
      </x:c>
      <x:c r="I507" s="112" t="n">
        <x:v>21</x:v>
      </x:c>
      <x:c r="J507" s="112" t="str">
        <x:v>작법, 설정</x:v>
      </x:c>
      <x:c r="K507" s="112" t="str">
        <x:v>본인 작성/의견 추정</x:v>
      </x:c>
      <x:c r="L507" s="112" t="str">
        <x:v>낮음</x:v>
      </x:c>
      <x:c r="M507" s="112" t="str">
        <x:v>재게시 표시는 없으나 저자성 직접 증거 부족</x:v>
      </x:c>
      <x:c r="N507" s="116" t="str"/>
      <x:c r="O507" s="116" t="str">
        <x:v>https://m.blog.naver.com/sntu2010/221635187067</x:v>
      </x:c>
      <x:c r="P507" s="112" t="str">
        <x:v>예</x:v>
      </x:c>
      <x:c r="Q507" s="113" t="str">
        <x:v>자동 분류·표본 검토 대상</x:v>
      </x:c>
    </x:row>
    <x:row r="508">
      <x:c r="A508" s="100" t="n">
        <x:v>507</x:v>
      </x:c>
      <x:c r="B508" s="101" t="n">
        <x:v>43709</x:v>
      </x:c>
      <x:c r="C508" s="102" t="n">
        <x:v>2019</x:v>
      </x:c>
      <x:c r="D508" s="103" t="str">
        <x:v>ID-221635109955</x:v>
      </x:c>
      <x:c r="E508" s="112" t="str">
        <x:v>[펌]전투씬을 만화에 비유를 해보자면</x:v>
      </x:c>
      <x:c r="F508" s="112" t="str">
        <x:v>웹소작법</x:v>
      </x:c>
      <x:c r="G508" s="112" t="str">
        <x:v>웹소설 직접</x:v>
      </x:c>
      <x:c r="H508" s="112" t="str">
        <x:v>작법·상업성</x:v>
      </x:c>
      <x:c r="I508" s="112" t="n">
        <x:v>8</x:v>
      </x:c>
      <x:c r="J508" s="112" t="str">
        <x:v>묘사, 문장, 작법</x:v>
      </x:c>
      <x:c r="K508" s="112" t="str">
        <x:v>재게시</x:v>
      </x:c>
      <x:c r="L508" s="112" t="str">
        <x:v>높음</x:v>
      </x:c>
      <x:c r="M508" s="112" t="str">
        <x:v>제목의 펌/퍼옴 표시</x:v>
      </x:c>
      <x:c r="N508" s="116" t="str">
        <x:v>https://gall.dcinside.com/mgallery/board/view/?id=tgijjdd&amp;no=192240&amp;exception_mode=recommend&amp;page=1</x:v>
      </x:c>
      <x:c r="O508" s="116" t="str">
        <x:v>https://m.blog.naver.com/sntu2010/221635109955</x:v>
      </x:c>
      <x:c r="P508" s="112" t="str">
        <x:v>예</x:v>
      </x:c>
      <x:c r="Q508" s="113" t="str">
        <x:v>자동 분류·표본 검토 대상</x:v>
      </x:c>
    </x:row>
    <x:row r="509">
      <x:c r="A509" s="100" t="n">
        <x:v>508</x:v>
      </x:c>
      <x:c r="B509" s="101" t="n">
        <x:v>43709</x:v>
      </x:c>
      <x:c r="C509" s="102" t="n">
        <x:v>2019</x:v>
      </x:c>
      <x:c r="D509" s="103" t="str">
        <x:v>ID-221635107108</x:v>
      </x:c>
      <x:c r="E509" s="112" t="str">
        <x:v>[펌]망생이들을 위한 웹소설 연재 팁 1~3부</x:v>
      </x:c>
      <x:c r="F509" s="112" t="str">
        <x:v>웹소작법</x:v>
      </x:c>
      <x:c r="G509" s="112" t="str">
        <x:v>웹소설 직접</x:v>
      </x:c>
      <x:c r="H509" s="112" t="str">
        <x:v>작법·상업성</x:v>
      </x:c>
      <x:c r="I509" s="112" t="n">
        <x:v>3</x:v>
      </x:c>
      <x:c r="J509" s="112" t="str">
        <x:v>장르, 소재, 작법</x:v>
      </x:c>
      <x:c r="K509" s="112" t="str">
        <x:v>재게시</x:v>
      </x:c>
      <x:c r="L509" s="112" t="str">
        <x:v>높음</x:v>
      </x:c>
      <x:c r="M509" s="112" t="str">
        <x:v>제목의 펌/퍼옴 표시</x:v>
      </x:c>
      <x:c r="N509" s="116" t="str">
        <x:v>https://gall.dcinside.com/mgallery/board/view/?id=tgijjdd&amp;no=192785&amp;exception_mode=recommend&amp;page=1</x:v>
      </x:c>
      <x:c r="O509" s="116" t="str">
        <x:v>https://m.blog.naver.com/sntu2010/221635107108</x:v>
      </x:c>
      <x:c r="P509" s="112" t="str">
        <x:v>아니오</x:v>
      </x:c>
      <x:c r="Q509" s="113" t="str">
        <x:v>자동 분류·표본 검토 대상</x:v>
      </x:c>
    </x:row>
    <x:row r="510">
      <x:c r="A510" s="100" t="n">
        <x:v>509</x:v>
      </x:c>
      <x:c r="B510" s="101" t="n">
        <x:v>43709</x:v>
      </x:c>
      <x:c r="C510" s="102" t="n">
        <x:v>2019</x:v>
      </x:c>
      <x:c r="D510" s="103" t="str">
        <x:v>ID-221635104718</x:v>
      </x:c>
      <x:c r="E510" s="112" t="str">
        <x:v>[펌]픽사의 스토리텔링 법칙 22가지</x:v>
      </x:c>
      <x:c r="F510" s="112" t="str">
        <x:v>웹소작법</x:v>
      </x:c>
      <x:c r="G510" s="112" t="str">
        <x:v>웹소설 직접</x:v>
      </x:c>
      <x:c r="H510" s="112" t="str">
        <x:v>작법·상업성</x:v>
      </x:c>
      <x:c r="I510" s="112" t="n">
        <x:v>1</x:v>
      </x:c>
      <x:c r="J510" s="112" t="str">
        <x:v>작법</x:v>
      </x:c>
      <x:c r="K510" s="112" t="str">
        <x:v>재게시</x:v>
      </x:c>
      <x:c r="L510" s="112" t="str">
        <x:v>높음</x:v>
      </x:c>
      <x:c r="M510" s="112" t="str">
        <x:v>제목의 펌/퍼옴 표시</x:v>
      </x:c>
      <x:c r="N510" s="116" t="str">
        <x:v>https://gall.dcinside.com/mgallery/board/view/?id=tgijjdd&amp;no=193292&amp;exception_mode=recommend&amp;page=1</x:v>
      </x:c>
      <x:c r="O510" s="116" t="str">
        <x:v>https://m.blog.naver.com/sntu2010/221635104718</x:v>
      </x:c>
      <x:c r="P510" s="112" t="str">
        <x:v>아니오</x:v>
      </x:c>
      <x:c r="Q510" s="113" t="str">
        <x:v>자동 분류·표본 검토 대상</x:v>
      </x:c>
    </x:row>
    <x:row r="511">
      <x:c r="A511" s="100" t="n">
        <x:v>510</x:v>
      </x:c>
      <x:c r="B511" s="101" t="n">
        <x:v>43703</x:v>
      </x:c>
      <x:c r="C511" s="102" t="n">
        <x:v>2019</x:v>
      </x:c>
      <x:c r="D511" s="103" t="str">
        <x:v>ID-221629641478</x:v>
      </x:c>
      <x:c r="E511" s="112" t="str">
        <x:v>기존의 이야기를 이용한 스토리 발상 훈련</x:v>
      </x:c>
      <x:c r="F511" s="112" t="str">
        <x:v>웹소생각</x:v>
      </x:c>
      <x:c r="G511" s="112" t="str">
        <x:v>웹소설 직접</x:v>
      </x:c>
      <x:c r="H511" s="112" t="str">
        <x:v>캐릭터·전개</x:v>
      </x:c>
      <x:c r="I511" s="112" t="n">
        <x:v>5</x:v>
      </x:c>
      <x:c r="J511" s="112" t="str">
        <x:v>전개, 주인공, 에피소드</x:v>
      </x:c>
      <x:c r="K511" s="112" t="str">
        <x:v>본인 작성/의견 추정</x:v>
      </x:c>
      <x:c r="L511" s="112" t="str">
        <x:v>낮음</x:v>
      </x:c>
      <x:c r="M511" s="112" t="str">
        <x:v>재게시 표시는 없으나 저자성 직접 증거 부족</x:v>
      </x:c>
      <x:c r="N511" s="116" t="str"/>
      <x:c r="O511" s="116" t="str">
        <x:v>https://m.blog.naver.com/sntu2010/221629641478</x:v>
      </x:c>
      <x:c r="P511" s="112" t="str">
        <x:v>아니오</x:v>
      </x:c>
      <x:c r="Q511" s="113" t="str">
        <x:v>자동 분류·표본 검토 대상</x:v>
      </x:c>
    </x:row>
    <x:row r="512">
      <x:c r="A512" s="100" t="n">
        <x:v>511</x:v>
      </x:c>
      <x:c r="B512" s="101" t="n">
        <x:v>43702</x:v>
      </x:c>
      <x:c r="C512" s="102" t="n">
        <x:v>2019</x:v>
      </x:c>
      <x:c r="D512" s="103" t="str">
        <x:v>ID-221628429524</x:v>
      </x:c>
      <x:c r="E512" s="112" t="str">
        <x:v>[펌]글먹... 입문자용 테크트리 추천...</x:v>
      </x:c>
      <x:c r="F512" s="112" t="str">
        <x:v>웹소작법</x:v>
      </x:c>
      <x:c r="G512" s="112" t="str">
        <x:v>웹소설 직접</x:v>
      </x:c>
      <x:c r="H512" s="112" t="str">
        <x:v>작법·상업성</x:v>
      </x:c>
      <x:c r="I512" s="112" t="n">
        <x:v>8</x:v>
      </x:c>
      <x:c r="J512" s="112" t="str">
        <x:v>장르, 클리셰, 독자, 작법</x:v>
      </x:c>
      <x:c r="K512" s="112" t="str">
        <x:v>재게시</x:v>
      </x:c>
      <x:c r="L512" s="112" t="str">
        <x:v>높음</x:v>
      </x:c>
      <x:c r="M512" s="112" t="str">
        <x:v>제목의 펌/퍼옴 표시</x:v>
      </x:c>
      <x:c r="N512" s="116" t="str">
        <x:v>https://gall.dcinside.com/mgallery/board/view/?id=tgijjdd&amp;no=191120&amp;exception_mode=recommend&amp;page=1</x:v>
      </x:c>
      <x:c r="O512" s="116" t="str">
        <x:v>https://m.blog.naver.com/sntu2010/221628429524</x:v>
      </x:c>
      <x:c r="P512" s="112" t="str">
        <x:v>예</x:v>
      </x:c>
      <x:c r="Q512" s="113" t="str">
        <x:v>자동 분류·표본 검토 대상</x:v>
      </x:c>
    </x:row>
    <x:row r="513">
      <x:c r="A513" s="100" t="n">
        <x:v>512</x:v>
      </x:c>
      <x:c r="B513" s="101" t="n">
        <x:v>43702</x:v>
      </x:c>
      <x:c r="C513" s="102" t="n">
        <x:v>2019</x:v>
      </x:c>
      <x:c r="D513" s="103" t="str">
        <x:v>ID-221628429138</x:v>
      </x:c>
      <x:c r="E513" s="112" t="str">
        <x:v>[펌]전투씬 팁 (=전투는 안 중요하다)</x:v>
      </x:c>
      <x:c r="F513" s="112" t="str">
        <x:v>웹소작법</x:v>
      </x:c>
      <x:c r="G513" s="112" t="str">
        <x:v>웹소설 직접</x:v>
      </x:c>
      <x:c r="H513" s="112" t="str">
        <x:v>캐릭터·전개</x:v>
      </x:c>
      <x:c r="I513" s="112" t="n">
        <x:v>3</x:v>
      </x:c>
      <x:c r="J513" s="112" t="str">
        <x:v>주인공, 에피소드, 사건</x:v>
      </x:c>
      <x:c r="K513" s="112" t="str">
        <x:v>재게시</x:v>
      </x:c>
      <x:c r="L513" s="112" t="str">
        <x:v>높음</x:v>
      </x:c>
      <x:c r="M513" s="112" t="str">
        <x:v>제목의 펌/퍼옴 표시</x:v>
      </x:c>
      <x:c r="N513" s="116" t="str">
        <x:v>https://gall.dcinside.com/mgallery/board/view/?id=tgijjdd&amp;no=190330&amp;exception_mode=recommend&amp;page=1</x:v>
      </x:c>
      <x:c r="O513" s="116" t="str">
        <x:v>https://m.blog.naver.com/sntu2010/221628429138</x:v>
      </x:c>
      <x:c r="P513" s="112" t="str">
        <x:v>아니오</x:v>
      </x:c>
      <x:c r="Q513" s="113" t="str">
        <x:v>자동 분류·표본 검토 대상</x:v>
      </x:c>
    </x:row>
    <x:row r="514">
      <x:c r="A514" s="100" t="n">
        <x:v>513</x:v>
      </x:c>
      <x:c r="B514" s="101" t="n">
        <x:v>43702</x:v>
      </x:c>
      <x:c r="C514" s="102" t="n">
        <x:v>2019</x:v>
      </x:c>
      <x:c r="D514" s="103" t="str">
        <x:v>ID-221628426288</x:v>
      </x:c>
      <x:c r="E514" s="112" t="str">
        <x:v>[펌]스토리와 설정에 대해 고민했던 갤러봐랑</x:v>
      </x:c>
      <x:c r="F514" s="112" t="str">
        <x:v>웹소작법</x:v>
      </x:c>
      <x:c r="G514" s="112" t="str">
        <x:v>웹소설 직접</x:v>
      </x:c>
      <x:c r="H514" s="112" t="str">
        <x:v>작법·상업성</x:v>
      </x:c>
      <x:c r="I514" s="112" t="n">
        <x:v>28</x:v>
      </x:c>
      <x:c r="J514" s="112" t="str">
        <x:v>설정, 재미, 독자, 작법</x:v>
      </x:c>
      <x:c r="K514" s="112" t="str">
        <x:v>재게시</x:v>
      </x:c>
      <x:c r="L514" s="112" t="str">
        <x:v>높음</x:v>
      </x:c>
      <x:c r="M514" s="112" t="str">
        <x:v>제목의 펌/퍼옴 표시</x:v>
      </x:c>
      <x:c r="N514" s="116" t="str">
        <x:v>https://gall.dcinside.com/mgallery/board/view/?id=tgijjdd&amp;no=190575&amp;exception_mode=recommend&amp;page=1</x:v>
      </x:c>
      <x:c r="O514" s="116" t="str">
        <x:v>https://m.blog.naver.com/sntu2010/221628426288</x:v>
      </x:c>
      <x:c r="P514" s="112" t="str">
        <x:v>예</x:v>
      </x:c>
      <x:c r="Q514" s="113" t="str">
        <x:v>자동 분류·표본 검토 대상</x:v>
      </x:c>
    </x:row>
    <x:row r="515">
      <x:c r="A515" s="100" t="n">
        <x:v>514</x:v>
      </x:c>
      <x:c r="B515" s="101" t="n">
        <x:v>43702</x:v>
      </x:c>
      <x:c r="C515" s="102" t="n">
        <x:v>2019</x:v>
      </x:c>
      <x:c r="D515" s="103" t="str">
        <x:v>ID-221628407985</x:v>
      </x:c>
      <x:c r="E515" s="112" t="str">
        <x:v>[펌]독자 입장에서 묘사 관련 느끼는 점</x:v>
      </x:c>
      <x:c r="F515" s="112" t="str">
        <x:v>웹소작법</x:v>
      </x:c>
      <x:c r="G515" s="112" t="str">
        <x:v>웹소설 직접</x:v>
      </x:c>
      <x:c r="H515" s="112" t="str">
        <x:v>작법·상업성</x:v>
      </x:c>
      <x:c r="I515" s="112" t="n">
        <x:v>48</x:v>
      </x:c>
      <x:c r="J515" s="112" t="str">
        <x:v>독자, 묘사, 문장, 재미, 소재, 작법</x:v>
      </x:c>
      <x:c r="K515" s="112" t="str">
        <x:v>재게시</x:v>
      </x:c>
      <x:c r="L515" s="112" t="str">
        <x:v>높음</x:v>
      </x:c>
      <x:c r="M515" s="112" t="str">
        <x:v>제목의 펌/퍼옴 표시</x:v>
      </x:c>
      <x:c r="N515" s="116" t="str">
        <x:v>https://gall.dcinside.com/mgallery/board/view/?id=tgijjdd&amp;no=190619&amp;exception_mode=recommend&amp;page=1</x:v>
      </x:c>
      <x:c r="O515" s="116" t="str">
        <x:v>https://m.blog.naver.com/sntu2010/221628407985</x:v>
      </x:c>
      <x:c r="P515" s="112" t="str">
        <x:v>예</x:v>
      </x:c>
      <x:c r="Q515" s="113" t="str">
        <x:v>자동 분류·표본 검토 대상</x:v>
      </x:c>
    </x:row>
    <x:row r="516">
      <x:c r="A516" s="100" t="n">
        <x:v>515</x:v>
      </x:c>
      <x:c r="B516" s="101" t="n">
        <x:v>43677</x:v>
      </x:c>
      <x:c r="C516" s="102" t="n">
        <x:v>2019</x:v>
      </x:c>
      <x:c r="D516" s="103" t="str">
        <x:v>ID-221601605802</x:v>
      </x:c>
      <x:c r="E516" s="112" t="str">
        <x:v>소설 세계관 설정이 2% 부족할 때</x:v>
      </x:c>
      <x:c r="F516" s="112" t="str">
        <x:v>웹소생각</x:v>
      </x:c>
      <x:c r="G516" s="112" t="str">
        <x:v>웹소설 직접</x:v>
      </x:c>
      <x:c r="H516" s="112" t="str">
        <x:v>작법·상업성</x:v>
      </x:c>
      <x:c r="I516" s="112" t="n">
        <x:v>22</x:v>
      </x:c>
      <x:c r="J516" s="112" t="str">
        <x:v>설정, 소재</x:v>
      </x:c>
      <x:c r="K516" s="112" t="str">
        <x:v>본인 작성/의견 추정</x:v>
      </x:c>
      <x:c r="L516" s="112" t="str">
        <x:v>낮음</x:v>
      </x:c>
      <x:c r="M516" s="112" t="str">
        <x:v>재게시 표시는 없으나 저자성 직접 증거 부족</x:v>
      </x:c>
      <x:c r="N516" s="116" t="str"/>
      <x:c r="O516" s="116" t="str">
        <x:v>https://m.blog.naver.com/sntu2010/221601605802</x:v>
      </x:c>
      <x:c r="P516" s="112" t="str">
        <x:v>예</x:v>
      </x:c>
      <x:c r="Q516" s="113" t="str">
        <x:v>자동 분류·표본 검토 대상</x:v>
      </x:c>
    </x:row>
    <x:row r="517">
      <x:c r="A517" s="100" t="n">
        <x:v>516</x:v>
      </x:c>
      <x:c r="B517" s="101" t="n">
        <x:v>43675</x:v>
      </x:c>
      <x:c r="C517" s="102" t="n">
        <x:v>2019</x:v>
      </x:c>
      <x:c r="D517" s="103" t="str">
        <x:v>ID-221598933118</x:v>
      </x:c>
      <x:c r="E517" s="112" t="str">
        <x:v>[펌]빛 효과 광선 만들기</x:v>
      </x:c>
      <x:c r="F517" s="112" t="str">
        <x:v>웹툰작법</x:v>
      </x:c>
      <x:c r="G517" s="112" t="str">
        <x:v>웹툰 참고</x:v>
      </x:c>
      <x:c r="H517" s="112" t="str">
        <x:v>작법·상업성</x:v>
      </x:c>
      <x:c r="I517" s="112" t="n">
        <x:v>1</x:v>
      </x:c>
      <x:c r="J517" s="112" t="str">
        <x:v>작법</x:v>
      </x:c>
      <x:c r="K517" s="112" t="str">
        <x:v>재게시</x:v>
      </x:c>
      <x:c r="L517" s="112" t="str">
        <x:v>높음</x:v>
      </x:c>
      <x:c r="M517" s="112" t="str">
        <x:v>제목의 펌/퍼옴 표시</x:v>
      </x:c>
      <x:c r="N517" s="116" t="str">
        <x:v>https://tips.clip-studio.com/ko-kr/articles/1918</x:v>
      </x:c>
      <x:c r="O517" s="116" t="str">
        <x:v>https://m.blog.naver.com/sntu2010/221598933118</x:v>
      </x:c>
      <x:c r="P517" s="112" t="str">
        <x:v>아니오</x:v>
      </x:c>
      <x:c r="Q517" s="113" t="str">
        <x:v>자동 분류·표본 검토 대상</x:v>
      </x:c>
    </x:row>
    <x:row r="518">
      <x:c r="A518" s="100" t="n">
        <x:v>517</x:v>
      </x:c>
      <x:c r="B518" s="101" t="n">
        <x:v>43675</x:v>
      </x:c>
      <x:c r="C518" s="102" t="n">
        <x:v>2019</x:v>
      </x:c>
      <x:c r="D518" s="103" t="str">
        <x:v>ID-221598931482</x:v>
      </x:c>
      <x:c r="E518" s="112" t="str">
        <x:v>[펌]애니메이션 셀 색칠을 수채화로 바꾸기</x:v>
      </x:c>
      <x:c r="F518" s="112" t="str">
        <x:v>웹툰작법</x:v>
      </x:c>
      <x:c r="G518" s="112" t="str">
        <x:v>웹툰 참고</x:v>
      </x:c>
      <x:c r="H518" s="112" t="str">
        <x:v>작법·상업성</x:v>
      </x:c>
      <x:c r="I518" s="112" t="n">
        <x:v>1</x:v>
      </x:c>
      <x:c r="J518" s="112" t="str">
        <x:v>작법</x:v>
      </x:c>
      <x:c r="K518" s="112" t="str">
        <x:v>재게시</x:v>
      </x:c>
      <x:c r="L518" s="112" t="str">
        <x:v>높음</x:v>
      </x:c>
      <x:c r="M518" s="112" t="str">
        <x:v>제목의 펌/퍼옴 표시</x:v>
      </x:c>
      <x:c r="N518" s="116" t="str">
        <x:v>https://tips.clip-studio.com/ko-kr/articles/1801</x:v>
      </x:c>
      <x:c r="O518" s="116" t="str">
        <x:v>https://m.blog.naver.com/sntu2010/221598931482</x:v>
      </x:c>
      <x:c r="P518" s="112" t="str">
        <x:v>아니오</x:v>
      </x:c>
      <x:c r="Q518" s="113" t="str">
        <x:v>자동 분류·표본 검토 대상</x:v>
      </x:c>
    </x:row>
    <x:row r="519">
      <x:c r="A519" s="100" t="n">
        <x:v>518</x:v>
      </x:c>
      <x:c r="B519" s="101" t="n">
        <x:v>43675</x:v>
      </x:c>
      <x:c r="C519" s="102" t="n">
        <x:v>2019</x:v>
      </x:c>
      <x:c r="D519" s="103" t="str">
        <x:v>ID-221598929903</x:v>
      </x:c>
      <x:c r="E519" s="112" t="str">
        <x:v>[펌]화상을 가져와 작품의 퀄리티 향상</x:v>
      </x:c>
      <x:c r="F519" s="112" t="str">
        <x:v>웹툰작법</x:v>
      </x:c>
      <x:c r="G519" s="112" t="str">
        <x:v>웹툰 참고</x:v>
      </x:c>
      <x:c r="H519" s="112" t="str">
        <x:v>작법·상업성</x:v>
      </x:c>
      <x:c r="I519" s="112" t="n">
        <x:v>1</x:v>
      </x:c>
      <x:c r="J519" s="112" t="str">
        <x:v>작법</x:v>
      </x:c>
      <x:c r="K519" s="112" t="str">
        <x:v>재게시</x:v>
      </x:c>
      <x:c r="L519" s="112" t="str">
        <x:v>높음</x:v>
      </x:c>
      <x:c r="M519" s="112" t="str">
        <x:v>제목의 펌/퍼옴 표시</x:v>
      </x:c>
      <x:c r="N519" s="116" t="str">
        <x:v>https://tips.clip-studio.com/ko-kr/articles/1883</x:v>
      </x:c>
      <x:c r="O519" s="116" t="str">
        <x:v>https://m.blog.naver.com/sntu2010/221598929903</x:v>
      </x:c>
      <x:c r="P519" s="112" t="str">
        <x:v>아니오</x:v>
      </x:c>
      <x:c r="Q519" s="113" t="str">
        <x:v>자동 분류·표본 검토 대상</x:v>
      </x:c>
    </x:row>
    <x:row r="520">
      <x:c r="A520" s="100" t="n">
        <x:v>519</x:v>
      </x:c>
      <x:c r="B520" s="101" t="n">
        <x:v>43675</x:v>
      </x:c>
      <x:c r="C520" s="102" t="n">
        <x:v>2019</x:v>
      </x:c>
      <x:c r="D520" s="103" t="str">
        <x:v>ID-221598925192</x:v>
      </x:c>
      <x:c r="E520" s="112" t="str">
        <x:v>[펌]디지털 그림 그리기에서 알아 두면 좋은 레이어 사용법</x:v>
      </x:c>
      <x:c r="F520" s="112" t="str">
        <x:v>웹툰작법</x:v>
      </x:c>
      <x:c r="G520" s="112" t="str">
        <x:v>웹툰 참고</x:v>
      </x:c>
      <x:c r="H520" s="112" t="str">
        <x:v>작법·상업성</x:v>
      </x:c>
      <x:c r="I520" s="112" t="n">
        <x:v>1</x:v>
      </x:c>
      <x:c r="J520" s="112" t="str">
        <x:v>작법</x:v>
      </x:c>
      <x:c r="K520" s="112" t="str">
        <x:v>재게시</x:v>
      </x:c>
      <x:c r="L520" s="112" t="str">
        <x:v>높음</x:v>
      </x:c>
      <x:c r="M520" s="112" t="str">
        <x:v>제목의 펌/퍼옴 표시</x:v>
      </x:c>
      <x:c r="N520" s="116" t="str">
        <x:v>https://tips.clip-studio.com/ko-kr/articles/1882</x:v>
      </x:c>
      <x:c r="O520" s="116" t="str">
        <x:v>https://m.blog.naver.com/sntu2010/221598925192</x:v>
      </x:c>
      <x:c r="P520" s="112" t="str">
        <x:v>아니오</x:v>
      </x:c>
      <x:c r="Q520" s="113" t="str">
        <x:v>자동 분류·표본 검토 대상</x:v>
      </x:c>
    </x:row>
    <x:row r="521">
      <x:c r="A521" s="100" t="n">
        <x:v>520</x:v>
      </x:c>
      <x:c r="B521" s="101" t="n">
        <x:v>43675</x:v>
      </x:c>
      <x:c r="C521" s="102" t="n">
        <x:v>2019</x:v>
      </x:c>
      <x:c r="D521" s="103" t="str">
        <x:v>ID-221598920938</x:v>
      </x:c>
      <x:c r="E521" s="112" t="str">
        <x:v>[펌]기본적인 디지털 채색법과 브러시 조정 방법</x:v>
      </x:c>
      <x:c r="F521" s="112" t="str">
        <x:v>웹툰작법</x:v>
      </x:c>
      <x:c r="G521" s="112" t="str">
        <x:v>웹툰 참고</x:v>
      </x:c>
      <x:c r="H521" s="112" t="str">
        <x:v>작법·상업성</x:v>
      </x:c>
      <x:c r="I521" s="112" t="n">
        <x:v>1</x:v>
      </x:c>
      <x:c r="J521" s="112" t="str">
        <x:v>작법</x:v>
      </x:c>
      <x:c r="K521" s="112" t="str">
        <x:v>재게시</x:v>
      </x:c>
      <x:c r="L521" s="112" t="str">
        <x:v>높음</x:v>
      </x:c>
      <x:c r="M521" s="112" t="str">
        <x:v>제목의 펌/퍼옴 표시</x:v>
      </x:c>
      <x:c r="N521" s="116" t="str">
        <x:v>https://tips.clip-studio.com/ko-kr/articles/1881</x:v>
      </x:c>
      <x:c r="O521" s="116" t="str">
        <x:v>https://m.blog.naver.com/sntu2010/221598920938</x:v>
      </x:c>
      <x:c r="P521" s="112" t="str">
        <x:v>아니오</x:v>
      </x:c>
      <x:c r="Q521" s="113" t="str">
        <x:v>자동 분류·표본 검토 대상</x:v>
      </x:c>
    </x:row>
    <x:row r="522">
      <x:c r="A522" s="100" t="n">
        <x:v>521</x:v>
      </x:c>
      <x:c r="B522" s="101" t="n">
        <x:v>43664</x:v>
      </x:c>
      <x:c r="C522" s="102" t="n">
        <x:v>2019</x:v>
      </x:c>
      <x:c r="D522" s="103" t="str">
        <x:v>ID-221589365303</x:v>
      </x:c>
      <x:c r="E522" s="112" t="str">
        <x:v>[펌]연독, 추천비, 투베 시스템에 대한 내 분석</x:v>
      </x:c>
      <x:c r="F522" s="112" t="str">
        <x:v>웹소작법</x:v>
      </x:c>
      <x:c r="G522" s="112" t="str">
        <x:v>웹소설 직접</x:v>
      </x:c>
      <x:c r="H522" s="112" t="str">
        <x:v>초반부/연독률</x:v>
      </x:c>
      <x:c r="I522" s="112" t="n">
        <x:v>25</x:v>
      </x:c>
      <x:c r="J522" s="112" t="str">
        <x:v>연독, 조회수, 유입</x:v>
      </x:c>
      <x:c r="K522" s="112" t="str">
        <x:v>재게시</x:v>
      </x:c>
      <x:c r="L522" s="112" t="str">
        <x:v>높음</x:v>
      </x:c>
      <x:c r="M522" s="112" t="str">
        <x:v>제목의 펌/퍼옴 표시</x:v>
      </x:c>
      <x:c r="N522" s="116" t="str">
        <x:v>https://gall.dcinside.com/mgallery/board/view/?id=tgijjdd&amp;no=173665&amp;exception_mode=recommend&amp;page=1</x:v>
      </x:c>
      <x:c r="O522" s="116" t="str">
        <x:v>https://m.blog.naver.com/sntu2010/221589365303</x:v>
      </x:c>
      <x:c r="P522" s="112" t="str">
        <x:v>예</x:v>
      </x:c>
      <x:c r="Q522" s="113" t="str">
        <x:v>자동 분류·표본 검토 대상</x:v>
      </x:c>
    </x:row>
    <x:row r="523">
      <x:c r="A523" s="100" t="n">
        <x:v>522</x:v>
      </x:c>
      <x:c r="B523" s="101" t="n">
        <x:v>43664</x:v>
      </x:c>
      <x:c r="C523" s="102" t="n">
        <x:v>2019</x:v>
      </x:c>
      <x:c r="D523" s="103" t="str">
        <x:v>ID-221589365004</x:v>
      </x:c>
      <x:c r="E523" s="112" t="str">
        <x:v>[펌]글쓰기 TIP.1</x:v>
      </x:c>
      <x:c r="F523" s="112" t="str">
        <x:v>웹소작법</x:v>
      </x:c>
      <x:c r="G523" s="112" t="str">
        <x:v>웹소설 직접</x:v>
      </x:c>
      <x:c r="H523" s="112" t="str">
        <x:v>작법·상업성</x:v>
      </x:c>
      <x:c r="I523" s="112" t="n">
        <x:v>25</x:v>
      </x:c>
      <x:c r="J523" s="112" t="str">
        <x:v>글쓰기, 재미, 설정, 작법</x:v>
      </x:c>
      <x:c r="K523" s="112" t="str">
        <x:v>재게시</x:v>
      </x:c>
      <x:c r="L523" s="112" t="str">
        <x:v>높음</x:v>
      </x:c>
      <x:c r="M523" s="112" t="str">
        <x:v>제목의 펌/퍼옴 표시</x:v>
      </x:c>
      <x:c r="N523" s="116" t="str">
        <x:v>https://gall.dcinside.com/mgallery/board/view/?id=tgijjdd&amp;no=173661&amp;exception_mode=recommend&amp;page=1</x:v>
      </x:c>
      <x:c r="O523" s="116" t="str">
        <x:v>https://m.blog.naver.com/sntu2010/221589365004</x:v>
      </x:c>
      <x:c r="P523" s="112" t="str">
        <x:v>예</x:v>
      </x:c>
      <x:c r="Q523" s="113" t="str">
        <x:v>자동 분류·표본 검토 대상</x:v>
      </x:c>
    </x:row>
    <x:row r="524">
      <x:c r="A524" s="100" t="n">
        <x:v>523</x:v>
      </x:c>
      <x:c r="B524" s="101" t="n">
        <x:v>43664</x:v>
      </x:c>
      <x:c r="C524" s="102" t="n">
        <x:v>2019</x:v>
      </x:c>
      <x:c r="D524" s="103" t="str">
        <x:v>ID-221589363726</x:v>
      </x:c>
      <x:c r="E524" s="112" t="str">
        <x:v>[펌]글이 안써지는 이유, 포기하는 이유 설명해준다</x:v>
      </x:c>
      <x:c r="F524" s="112" t="str">
        <x:v>웹소작법</x:v>
      </x:c>
      <x:c r="G524" s="112" t="str">
        <x:v>웹소설 직접</x:v>
      </x:c>
      <x:c r="H524" s="112" t="str">
        <x:v>작법·상업성</x:v>
      </x:c>
      <x:c r="I524" s="112" t="n">
        <x:v>6</x:v>
      </x:c>
      <x:c r="J524" s="112" t="str">
        <x:v>트렌드, 독자, 장르, 재미, 설정, 작법</x:v>
      </x:c>
      <x:c r="K524" s="112" t="str">
        <x:v>재게시</x:v>
      </x:c>
      <x:c r="L524" s="112" t="str">
        <x:v>높음</x:v>
      </x:c>
      <x:c r="M524" s="112" t="str">
        <x:v>제목의 펌/퍼옴 표시</x:v>
      </x:c>
      <x:c r="N524" s="116" t="str">
        <x:v>https://gall.dcinside.com/mgallery/board/view/?id=tgijjdd&amp;no=173167&amp;exception_mode=recommend&amp;page=1</x:v>
      </x:c>
      <x:c r="O524" s="116" t="str">
        <x:v>https://m.blog.naver.com/sntu2010/221589363726</x:v>
      </x:c>
      <x:c r="P524" s="112" t="str">
        <x:v>예</x:v>
      </x:c>
      <x:c r="Q524" s="113" t="str">
        <x:v>자동 분류·표본 검토 대상</x:v>
      </x:c>
    </x:row>
    <x:row r="525">
      <x:c r="A525" s="100" t="n">
        <x:v>524</x:v>
      </x:c>
      <x:c r="B525" s="101" t="n">
        <x:v>43664</x:v>
      </x:c>
      <x:c r="C525" s="102" t="n">
        <x:v>2019</x:v>
      </x:c>
      <x:c r="D525" s="103" t="str">
        <x:v>ID-221589362997</x:v>
      </x:c>
      <x:c r="E525" s="112" t="str">
        <x:v>[펌]한작품의 수익 사이클</x:v>
      </x:c>
      <x:c r="F525" s="112" t="str">
        <x:v>웹소작법</x:v>
      </x:c>
      <x:c r="G525" s="112" t="str">
        <x:v>웹소설 직접</x:v>
      </x:c>
      <x:c r="H525" s="112" t="str">
        <x:v>수익·운영</x:v>
      </x:c>
      <x:c r="I525" s="112" t="n">
        <x:v>20</x:v>
      </x:c>
      <x:c r="J525" s="112" t="str">
        <x:v>수익</x:v>
      </x:c>
      <x:c r="K525" s="112" t="str">
        <x:v>재게시</x:v>
      </x:c>
      <x:c r="L525" s="112" t="str">
        <x:v>높음</x:v>
      </x:c>
      <x:c r="M525" s="112" t="str">
        <x:v>제목의 펌/퍼옴 표시</x:v>
      </x:c>
      <x:c r="N525" s="116" t="str">
        <x:v>https://gall.dcinside.com/mgallery/board/view/?id=tgijjdd&amp;no=170575&amp;exception_mode=recommend&amp;page=2</x:v>
      </x:c>
      <x:c r="O525" s="116" t="str">
        <x:v>https://m.blog.naver.com/sntu2010/221589362997</x:v>
      </x:c>
      <x:c r="P525" s="112" t="str">
        <x:v>예</x:v>
      </x:c>
      <x:c r="Q525" s="113" t="str">
        <x:v>자동 분류·표본 검토 대상</x:v>
      </x:c>
    </x:row>
    <x:row r="526">
      <x:c r="A526" s="100" t="n">
        <x:v>525</x:v>
      </x:c>
      <x:c r="B526" s="101" t="n">
        <x:v>43664</x:v>
      </x:c>
      <x:c r="C526" s="102" t="n">
        <x:v>2019</x:v>
      </x:c>
      <x:c r="D526" s="103" t="str">
        <x:v>ID-221589362615</x:v>
      </x:c>
      <x:c r="E526" s="112" t="str">
        <x:v>[펌]글먹하는 법 다 아는tip</x:v>
      </x:c>
      <x:c r="F526" s="112" t="str">
        <x:v>웹소작법</x:v>
      </x:c>
      <x:c r="G526" s="112" t="str">
        <x:v>웹소설 직접</x:v>
      </x:c>
      <x:c r="H526" s="112" t="str">
        <x:v>작법·상업성</x:v>
      </x:c>
      <x:c r="I526" s="112" t="n">
        <x:v>3</x:v>
      </x:c>
      <x:c r="J526" s="112" t="str">
        <x:v>재미, 문장, 작법</x:v>
      </x:c>
      <x:c r="K526" s="112" t="str">
        <x:v>재게시</x:v>
      </x:c>
      <x:c r="L526" s="112" t="str">
        <x:v>높음</x:v>
      </x:c>
      <x:c r="M526" s="112" t="str">
        <x:v>제목의 펌/퍼옴 표시</x:v>
      </x:c>
      <x:c r="N526" s="116" t="str">
        <x:v>https://gall.dcinside.com/mgallery/board/view/?id=tgijjdd&amp;no=170320&amp;exception_mode=recommend&amp;page=2</x:v>
      </x:c>
      <x:c r="O526" s="116" t="str">
        <x:v>https://m.blog.naver.com/sntu2010/221589362615</x:v>
      </x:c>
      <x:c r="P526" s="112" t="str">
        <x:v>아니오</x:v>
      </x:c>
      <x:c r="Q526" s="113" t="str">
        <x:v>자동 분류·표본 검토 대상</x:v>
      </x:c>
    </x:row>
    <x:row r="527">
      <x:c r="A527" s="100" t="n">
        <x:v>526</x:v>
      </x:c>
      <x:c r="B527" s="101" t="n">
        <x:v>43664</x:v>
      </x:c>
      <x:c r="C527" s="102" t="n">
        <x:v>2019</x:v>
      </x:c>
      <x:c r="D527" s="103" t="str">
        <x:v>ID-221589362263</x:v>
      </x:c>
      <x:c r="E527" s="112" t="str">
        <x:v>[펌]연재 팁글(장문주의)</x:v>
      </x:c>
      <x:c r="F527" s="112" t="str">
        <x:v>웹소작법</x:v>
      </x:c>
      <x:c r="G527" s="112" t="str">
        <x:v>웹소설 직접</x:v>
      </x:c>
      <x:c r="H527" s="112" t="str">
        <x:v>작법·상업성</x:v>
      </x:c>
      <x:c r="I527" s="112" t="n">
        <x:v>2</x:v>
      </x:c>
      <x:c r="J527" s="112" t="str">
        <x:v>글쓰기, 작법</x:v>
      </x:c>
      <x:c r="K527" s="112" t="str">
        <x:v>재게시</x:v>
      </x:c>
      <x:c r="L527" s="112" t="str">
        <x:v>높음</x:v>
      </x:c>
      <x:c r="M527" s="112" t="str">
        <x:v>제목의 펌/퍼옴 표시</x:v>
      </x:c>
      <x:c r="N527" s="116" t="str">
        <x:v>https://gall.dcinside.com/mgallery/board/view/?id=tgijjdd&amp;no=166394&amp;exception_mode=recommend&amp;page=3</x:v>
      </x:c>
      <x:c r="O527" s="116" t="str">
        <x:v>https://m.blog.naver.com/sntu2010/221589362263</x:v>
      </x:c>
      <x:c r="P527" s="112" t="str">
        <x:v>아니오</x:v>
      </x:c>
      <x:c r="Q527" s="113" t="str">
        <x:v>자동 분류·표본 검토 대상</x:v>
      </x:c>
    </x:row>
    <x:row r="528">
      <x:c r="A528" s="100" t="n">
        <x:v>527</x:v>
      </x:c>
      <x:c r="B528" s="101" t="n">
        <x:v>43664</x:v>
      </x:c>
      <x:c r="C528" s="102" t="n">
        <x:v>2019</x:v>
      </x:c>
      <x:c r="D528" s="103" t="str">
        <x:v>ID-221589359301</x:v>
      </x:c>
      <x:c r="E528" s="112" t="str">
        <x:v>[펌]먼치킨 주인공과 개연성에 대하여</x:v>
      </x:c>
      <x:c r="F528" s="112" t="str">
        <x:v>웹소작법</x:v>
      </x:c>
      <x:c r="G528" s="112" t="str">
        <x:v>웹소설 직접</x:v>
      </x:c>
      <x:c r="H528" s="112" t="str">
        <x:v>캐릭터·전개</x:v>
      </x:c>
      <x:c r="I528" s="112" t="n">
        <x:v>26</x:v>
      </x:c>
      <x:c r="J528" s="112" t="str">
        <x:v>주인공</x:v>
      </x:c>
      <x:c r="K528" s="112" t="str">
        <x:v>재게시</x:v>
      </x:c>
      <x:c r="L528" s="112" t="str">
        <x:v>높음</x:v>
      </x:c>
      <x:c r="M528" s="112" t="str">
        <x:v>제목의 펌/퍼옴 표시</x:v>
      </x:c>
      <x:c r="N528" s="116" t="str">
        <x:v>https://gall.dcinside.com/mgallery/board/view/?id=tgijjdd&amp;no=165450&amp;exception_mode=recommend&amp;page=3</x:v>
      </x:c>
      <x:c r="O528" s="116" t="str">
        <x:v>https://m.blog.naver.com/sntu2010/221589359301</x:v>
      </x:c>
      <x:c r="P528" s="112" t="str">
        <x:v>예</x:v>
      </x:c>
      <x:c r="Q528" s="113" t="str">
        <x:v>자동 분류·표본 검토 대상</x:v>
      </x:c>
    </x:row>
    <x:row r="529">
      <x:c r="A529" s="100" t="n">
        <x:v>528</x:v>
      </x:c>
      <x:c r="B529" s="101" t="n">
        <x:v>43664</x:v>
      </x:c>
      <x:c r="C529" s="102" t="n">
        <x:v>2019</x:v>
      </x:c>
      <x:c r="D529" s="103" t="str">
        <x:v>ID-221589358792</x:v>
      </x:c>
      <x:c r="E529" s="112" t="str">
        <x:v>[펌]슬픈 씬 묘사하는 팁 하나 준다</x:v>
      </x:c>
      <x:c r="F529" s="112" t="str">
        <x:v>웹소작법</x:v>
      </x:c>
      <x:c r="G529" s="112" t="str">
        <x:v>웹소설 직접</x:v>
      </x:c>
      <x:c r="H529" s="112" t="str">
        <x:v>작법·상업성</x:v>
      </x:c>
      <x:c r="I529" s="112" t="n">
        <x:v>23</x:v>
      </x:c>
      <x:c r="J529" s="112" t="str">
        <x:v>묘사, 독자, 작법</x:v>
      </x:c>
      <x:c r="K529" s="112" t="str">
        <x:v>재게시</x:v>
      </x:c>
      <x:c r="L529" s="112" t="str">
        <x:v>높음</x:v>
      </x:c>
      <x:c r="M529" s="112" t="str">
        <x:v>제목의 펌/퍼옴 표시</x:v>
      </x:c>
      <x:c r="N529" s="116" t="str">
        <x:v>https://gall.dcinside.com/mgallery/board/view/?id=tgijjdd&amp;no=165409&amp;exception_mode=recommend&amp;page=3</x:v>
      </x:c>
      <x:c r="O529" s="116" t="str">
        <x:v>https://m.blog.naver.com/sntu2010/221589358792</x:v>
      </x:c>
      <x:c r="P529" s="112" t="str">
        <x:v>예</x:v>
      </x:c>
      <x:c r="Q529" s="113" t="str">
        <x:v>자동 분류·표본 검토 대상</x:v>
      </x:c>
    </x:row>
    <x:row r="530">
      <x:c r="A530" s="100" t="n">
        <x:v>529</x:v>
      </x:c>
      <x:c r="B530" s="101" t="n">
        <x:v>43664</x:v>
      </x:c>
      <x:c r="C530" s="102" t="n">
        <x:v>2019</x:v>
      </x:c>
      <x:c r="D530" s="103" t="str">
        <x:v>ID-221589331201</x:v>
      </x:c>
      <x:c r="E530" s="112" t="str">
        <x:v>[펌]레이어 수 적은 빌딩 그리는 방법(PSD첨부)</x:v>
      </x:c>
      <x:c r="F530" s="112" t="str">
        <x:v>웹툰작법</x:v>
      </x:c>
      <x:c r="G530" s="112" t="str">
        <x:v>웹툰 참고</x:v>
      </x:c>
      <x:c r="H530" s="112" t="str">
        <x:v>작법·상업성</x:v>
      </x:c>
      <x:c r="I530" s="112" t="n">
        <x:v>1</x:v>
      </x:c>
      <x:c r="J530" s="112" t="str">
        <x:v>작법</x:v>
      </x:c>
      <x:c r="K530" s="112" t="str">
        <x:v>재게시</x:v>
      </x:c>
      <x:c r="L530" s="112" t="str">
        <x:v>높음</x:v>
      </x:c>
      <x:c r="M530" s="112" t="str">
        <x:v>제목의 펌/퍼옴 표시</x:v>
      </x:c>
      <x:c r="N530" s="116" t="str"/>
      <x:c r="O530" s="116" t="str">
        <x:v>https://m.blog.naver.com/sntu2010/221589331201</x:v>
      </x:c>
      <x:c r="P530" s="112" t="str">
        <x:v>아니오</x:v>
      </x:c>
      <x:c r="Q530" s="113" t="str">
        <x:v>자동 분류·표본 검토 대상</x:v>
      </x:c>
    </x:row>
    <x:row r="531">
      <x:c r="A531" s="100" t="n">
        <x:v>530</x:v>
      </x:c>
      <x:c r="B531" s="101" t="n">
        <x:v>43658</x:v>
      </x:c>
      <x:c r="C531" s="102" t="n">
        <x:v>2019</x:v>
      </x:c>
      <x:c r="D531" s="103" t="str">
        <x:v>ID-221583921907</x:v>
      </x:c>
      <x:c r="E531" s="112" t="str">
        <x:v>4번째 소설 'F급직업S급스킬'을 쓰며 적용한 것!</x:v>
      </x:c>
      <x:c r="F531" s="112" t="str">
        <x:v>웹소생각</x:v>
      </x:c>
      <x:c r="G531" s="112" t="str">
        <x:v>웹소설 직접</x:v>
      </x:c>
      <x:c r="H531" s="112" t="str">
        <x:v>캐릭터·전개</x:v>
      </x:c>
      <x:c r="I531" s="112" t="n">
        <x:v>4</x:v>
      </x:c>
      <x:c r="J531" s="112" t="str">
        <x:v>인물, 주인공, 에피소드</x:v>
      </x:c>
      <x:c r="K531" s="112" t="str">
        <x:v>본인 작성/의견 추정</x:v>
      </x:c>
      <x:c r="L531" s="112" t="str">
        <x:v>낮음</x:v>
      </x:c>
      <x:c r="M531" s="112" t="str">
        <x:v>재게시 표시는 없으나 저자성 직접 증거 부족</x:v>
      </x:c>
      <x:c r="N531" s="116" t="str"/>
      <x:c r="O531" s="116" t="str">
        <x:v>https://m.blog.naver.com/sntu2010/221583921907</x:v>
      </x:c>
      <x:c r="P531" s="112" t="str">
        <x:v>아니오</x:v>
      </x:c>
      <x:c r="Q531" s="113" t="str">
        <x:v>자동 분류·표본 검토 대상</x:v>
      </x:c>
    </x:row>
    <x:row r="532">
      <x:c r="A532" s="100" t="n">
        <x:v>531</x:v>
      </x:c>
      <x:c r="B532" s="101" t="n">
        <x:v>43644</x:v>
      </x:c>
      <x:c r="C532" s="102" t="n">
        <x:v>2019</x:v>
      </x:c>
      <x:c r="D532" s="103" t="str">
        <x:v>ID-221573415423</x:v>
      </x:c>
      <x:c r="E532" s="112" t="str">
        <x:v>게임 판타지 소설 아이템 설정 짜는 법을 알아보자!</x:v>
      </x:c>
      <x:c r="F532" s="112" t="str">
        <x:v>웹소생각</x:v>
      </x:c>
      <x:c r="G532" s="112" t="str">
        <x:v>웹소설 직접</x:v>
      </x:c>
      <x:c r="H532" s="112" t="str">
        <x:v>작법·상업성</x:v>
      </x:c>
      <x:c r="I532" s="112" t="n">
        <x:v>23</x:v>
      </x:c>
      <x:c r="J532" s="112" t="str">
        <x:v>설정, 독자</x:v>
      </x:c>
      <x:c r="K532" s="112" t="str">
        <x:v>본인 작성/의견 추정</x:v>
      </x:c>
      <x:c r="L532" s="112" t="str">
        <x:v>낮음</x:v>
      </x:c>
      <x:c r="M532" s="112" t="str">
        <x:v>재게시 표시는 없으나 저자성 직접 증거 부족</x:v>
      </x:c>
      <x:c r="N532" s="116" t="str"/>
      <x:c r="O532" s="116" t="str">
        <x:v>https://m.blog.naver.com/sntu2010/221573415423</x:v>
      </x:c>
      <x:c r="P532" s="112" t="str">
        <x:v>예</x:v>
      </x:c>
      <x:c r="Q532" s="113" t="str">
        <x:v>자동 분류·표본 검토 대상</x:v>
      </x:c>
    </x:row>
    <x:row r="533">
      <x:c r="A533" s="100" t="n">
        <x:v>532</x:v>
      </x:c>
      <x:c r="B533" s="101" t="n">
        <x:v>43643</x:v>
      </x:c>
      <x:c r="C533" s="102" t="n">
        <x:v>2019</x:v>
      </x:c>
      <x:c r="D533" s="103" t="str">
        <x:v>ID-221572571072</x:v>
      </x:c>
      <x:c r="E533" s="112" t="str">
        <x:v>[펌]글 쓸때 안막히는 팁 1,2부</x:v>
      </x:c>
      <x:c r="F533" s="112" t="str">
        <x:v>웹소작법</x:v>
      </x:c>
      <x:c r="G533" s="112" t="str">
        <x:v>웹소설 직접</x:v>
      </x:c>
      <x:c r="H533" s="112" t="str">
        <x:v>캐릭터·전개</x:v>
      </x:c>
      <x:c r="I533" s="112" t="n">
        <x:v>6</x:v>
      </x:c>
      <x:c r="J533" s="112" t="str">
        <x:v>플롯</x:v>
      </x:c>
      <x:c r="K533" s="112" t="str">
        <x:v>재게시</x:v>
      </x:c>
      <x:c r="L533" s="112" t="str">
        <x:v>높음</x:v>
      </x:c>
      <x:c r="M533" s="112" t="str">
        <x:v>제목의 펌/퍼옴 표시</x:v>
      </x:c>
      <x:c r="N533" s="116" t="str">
        <x:v>https://gall.dcinside.com/mgallery/board/view/?id=tgijjdd&amp;no=165195&amp;exception_mode=recommend&amp;page=1</x:v>
      </x:c>
      <x:c r="O533" s="116" t="str">
        <x:v>https://m.blog.naver.com/sntu2010/221572571072</x:v>
      </x:c>
      <x:c r="P533" s="112" t="str">
        <x:v>예</x:v>
      </x:c>
      <x:c r="Q533" s="113" t="str">
        <x:v>자동 분류·표본 검토 대상</x:v>
      </x:c>
    </x:row>
    <x:row r="534">
      <x:c r="A534" s="100" t="n">
        <x:v>533</x:v>
      </x:c>
      <x:c r="B534" s="101" t="n">
        <x:v>43627</x:v>
      </x:c>
      <x:c r="C534" s="102" t="n">
        <x:v>2019</x:v>
      </x:c>
      <x:c r="D534" s="103" t="str">
        <x:v>ID-221559899279</x:v>
      </x:c>
      <x:c r="E534" s="112" t="str">
        <x:v>[펌]제가 글 쓸 때 머릿속에 박아두는 것</x:v>
      </x:c>
      <x:c r="F534" s="112" t="str">
        <x:v>웹소작법</x:v>
      </x:c>
      <x:c r="G534" s="112" t="str">
        <x:v>웹소설 직접</x:v>
      </x:c>
      <x:c r="H534" s="112" t="str">
        <x:v>캐릭터·전개</x:v>
      </x:c>
      <x:c r="I534" s="112" t="n">
        <x:v>3</x:v>
      </x:c>
      <x:c r="J534" s="112" t="str">
        <x:v>캐릭터, 사건</x:v>
      </x:c>
      <x:c r="K534" s="112" t="str">
        <x:v>재게시</x:v>
      </x:c>
      <x:c r="L534" s="112" t="str">
        <x:v>높음</x:v>
      </x:c>
      <x:c r="M534" s="112" t="str">
        <x:v>제목의 펌/퍼옴 표시</x:v>
      </x:c>
      <x:c r="N534" s="116" t="str">
        <x:v>https://gall.dcinside.com/mgallery/board/view/?id=tgijjdd&amp;no=159101&amp;exception_mode=recommend&amp;page=1</x:v>
      </x:c>
      <x:c r="O534" s="116" t="str">
        <x:v>https://m.blog.naver.com/sntu2010/221559899279</x:v>
      </x:c>
      <x:c r="P534" s="112" t="str">
        <x:v>아니오</x:v>
      </x:c>
      <x:c r="Q534" s="113" t="str">
        <x:v>자동 분류·표본 검토 대상</x:v>
      </x:c>
    </x:row>
    <x:row r="535">
      <x:c r="A535" s="100" t="n">
        <x:v>534</x:v>
      </x:c>
      <x:c r="B535" s="101" t="n">
        <x:v>43627</x:v>
      </x:c>
      <x:c r="C535" s="102" t="n">
        <x:v>2019</x:v>
      </x:c>
      <x:c r="D535" s="103" t="str">
        <x:v>ID-221559871810</x:v>
      </x:c>
      <x:c r="E535" s="112" t="str">
        <x:v>조아라 노블레스 연재 완전 공략 바이블!</x:v>
      </x:c>
      <x:c r="F535" s="112" t="str">
        <x:v>웹소생각</x:v>
      </x:c>
      <x:c r="G535" s="112" t="str">
        <x:v>웹소설 직접</x:v>
      </x:c>
      <x:c r="H535" s="112" t="str">
        <x:v>플랫폼·투고·계약</x:v>
      </x:c>
      <x:c r="I535" s="112" t="n">
        <x:v>20</x:v>
      </x:c>
      <x:c r="J535" s="112" t="str">
        <x:v>조아라</x:v>
      </x:c>
      <x:c r="K535" s="112" t="str">
        <x:v>본인 작성/의견 추정</x:v>
      </x:c>
      <x:c r="L535" s="112" t="str">
        <x:v>낮음</x:v>
      </x:c>
      <x:c r="M535" s="112" t="str">
        <x:v>재게시 표시는 없으나 저자성 직접 증거 부족</x:v>
      </x:c>
      <x:c r="N535" s="116" t="str"/>
      <x:c r="O535" s="116" t="str">
        <x:v>https://m.blog.naver.com/sntu2010/221559871810</x:v>
      </x:c>
      <x:c r="P535" s="112" t="str">
        <x:v>예</x:v>
      </x:c>
      <x:c r="Q535" s="113" t="str">
        <x:v>자동 분류·표본 검토 대상</x:v>
      </x:c>
    </x:row>
    <x:row r="536">
      <x:c r="A536" s="100" t="n">
        <x:v>535</x:v>
      </x:c>
      <x:c r="B536" s="101" t="n">
        <x:v>43627</x:v>
      </x:c>
      <x:c r="C536" s="102" t="n">
        <x:v>2019</x:v>
      </x:c>
      <x:c r="D536" s="103" t="str">
        <x:v>ID-221559781034</x:v>
      </x:c>
      <x:c r="E536" s="112" t="str">
        <x:v>인기 웹소설 '나혼자만레벨업'의 흥행 이유를 분석해보자!</x:v>
      </x:c>
      <x:c r="F536" s="112" t="str">
        <x:v>웹소생각</x:v>
      </x:c>
      <x:c r="G536" s="112" t="str">
        <x:v>웹소설 직접</x:v>
      </x:c>
      <x:c r="H536" s="112" t="str">
        <x:v>작법·상업성</x:v>
      </x:c>
      <x:c r="I536" s="112" t="n">
        <x:v>26</x:v>
      </x:c>
      <x:c r="J536" s="112" t="str">
        <x:v>흥행, 독자, 장르</x:v>
      </x:c>
      <x:c r="K536" s="112" t="str">
        <x:v>본인 경험담 추정</x:v>
      </x:c>
      <x:c r="L536" s="112" t="str">
        <x:v>중간</x:v>
      </x:c>
      <x:c r="M536" s="112" t="str">
        <x:v>1인칭 경험·작품·계약 표현</x:v>
      </x:c>
      <x:c r="N536" s="116" t="str"/>
      <x:c r="O536" s="116" t="str">
        <x:v>https://m.blog.naver.com/sntu2010/221559781034</x:v>
      </x:c>
      <x:c r="P536" s="112" t="str">
        <x:v>예</x:v>
      </x:c>
      <x:c r="Q536" s="113" t="str">
        <x:v>자동 분류·표본 검토 대상</x:v>
      </x:c>
    </x:row>
    <x:row r="537">
      <x:c r="A537" s="100" t="n">
        <x:v>536</x:v>
      </x:c>
      <x:c r="B537" s="101" t="n">
        <x:v>43626</x:v>
      </x:c>
      <x:c r="C537" s="102" t="n">
        <x:v>2019</x:v>
      </x:c>
      <x:c r="D537" s="103" t="str">
        <x:v>ID-221558814262</x:v>
      </x:c>
      <x:c r="E537" s="112" t="str">
        <x:v>[공유] 사진을 보고 그리면 표절인가요?</x:v>
      </x:c>
      <x:c r="F537" s="112" t="str">
        <x:v>웹툰작법</x:v>
      </x:c>
      <x:c r="G537" s="112" t="str">
        <x:v>웹툰 참고</x:v>
      </x:c>
      <x:c r="H537" s="112" t="str">
        <x:v>작법·상업성</x:v>
      </x:c>
      <x:c r="I537" s="112" t="n">
        <x:v>1</x:v>
      </x:c>
      <x:c r="J537" s="112" t="str">
        <x:v>작법</x:v>
      </x:c>
      <x:c r="K537" s="112" t="str">
        <x:v>본인 작성/의견 추정</x:v>
      </x:c>
      <x:c r="L537" s="112" t="str">
        <x:v>낮음</x:v>
      </x:c>
      <x:c r="M537" s="112" t="str">
        <x:v>재게시 표시는 없으나 저자성 직접 증거 부족</x:v>
      </x:c>
      <x:c r="N537" s="116" t="str"/>
      <x:c r="O537" s="116" t="str">
        <x:v>https://m.blog.naver.com/sntu2010/221558814262</x:v>
      </x:c>
      <x:c r="P537" s="112" t="str">
        <x:v>아니오</x:v>
      </x:c>
      <x:c r="Q537" s="113" t="str">
        <x:v>수동 검토 필요</x:v>
      </x:c>
    </x:row>
    <x:row r="538">
      <x:c r="A538" s="100" t="n">
        <x:v>537</x:v>
      </x:c>
      <x:c r="B538" s="101" t="n">
        <x:v>43626</x:v>
      </x:c>
      <x:c r="C538" s="102" t="n">
        <x:v>2019</x:v>
      </x:c>
      <x:c r="D538" s="103" t="str">
        <x:v>ID-221558517911</x:v>
      </x:c>
      <x:c r="E538" s="112" t="str">
        <x:v>[펌]기대감을 주는 여러가지 방법 1,2부</x:v>
      </x:c>
      <x:c r="F538" s="112" t="str">
        <x:v>웹소작법</x:v>
      </x:c>
      <x:c r="G538" s="112" t="str">
        <x:v>웹소설 직접</x:v>
      </x:c>
      <x:c r="H538" s="112" t="str">
        <x:v>작법·상업성</x:v>
      </x:c>
      <x:c r="I538" s="112" t="n">
        <x:v>24</x:v>
      </x:c>
      <x:c r="J538" s="112" t="str">
        <x:v>기대감, 독자, 흥행, 작법</x:v>
      </x:c>
      <x:c r="K538" s="112" t="str">
        <x:v>재게시</x:v>
      </x:c>
      <x:c r="L538" s="112" t="str">
        <x:v>높음</x:v>
      </x:c>
      <x:c r="M538" s="112" t="str">
        <x:v>제목의 펌/퍼옴 표시</x:v>
      </x:c>
      <x:c r="N538" s="116" t="str">
        <x:v>https://gall.dcinside.com/mgallery/board/view/?id=tgijjdd&amp;no=158531&amp;exception_mode=recommend&amp;page=1</x:v>
      </x:c>
      <x:c r="O538" s="116" t="str">
        <x:v>https://m.blog.naver.com/sntu2010/221558517911</x:v>
      </x:c>
      <x:c r="P538" s="112" t="str">
        <x:v>예</x:v>
      </x:c>
      <x:c r="Q538" s="113" t="str">
        <x:v>자동 분류·표본 검토 대상</x:v>
      </x:c>
    </x:row>
    <x:row r="539">
      <x:c r="A539" s="100" t="n">
        <x:v>538</x:v>
      </x:c>
      <x:c r="B539" s="101" t="n">
        <x:v>43625</x:v>
      </x:c>
      <x:c r="C539" s="102" t="n">
        <x:v>2019</x:v>
      </x:c>
      <x:c r="D539" s="103" t="str">
        <x:v>ID-221558074348</x:v>
      </x:c>
      <x:c r="E539" s="112" t="str">
        <x:v>[펌]문피아 베스트 20 트렌드 분석</x:v>
      </x:c>
      <x:c r="F539" s="112" t="str">
        <x:v>웹소작법</x:v>
      </x:c>
      <x:c r="G539" s="112" t="str">
        <x:v>웹소설 직접</x:v>
      </x:c>
      <x:c r="H539" s="112" t="str">
        <x:v>작법·상업성</x:v>
      </x:c>
      <x:c r="I539" s="112" t="n">
        <x:v>21</x:v>
      </x:c>
      <x:c r="J539" s="112" t="str">
        <x:v>트렌드, 작법</x:v>
      </x:c>
      <x:c r="K539" s="112" t="str">
        <x:v>재게시</x:v>
      </x:c>
      <x:c r="L539" s="112" t="str">
        <x:v>높음</x:v>
      </x:c>
      <x:c r="M539" s="112" t="str">
        <x:v>제목의 펌/퍼옴 표시</x:v>
      </x:c>
      <x:c r="N539" s="116" t="str">
        <x:v>https://gall.dcinside.com/mgallery/board/view/?id=tgijjdd&amp;no=158287&amp;exception_mode=recommend&amp;page=1</x:v>
      </x:c>
      <x:c r="O539" s="116" t="str">
        <x:v>https://m.blog.naver.com/sntu2010/221558074348</x:v>
      </x:c>
      <x:c r="P539" s="112" t="str">
        <x:v>예</x:v>
      </x:c>
      <x:c r="Q539" s="113" t="str">
        <x:v>자동 분류·표본 검토 대상</x:v>
      </x:c>
    </x:row>
    <x:row r="540">
      <x:c r="A540" s="100" t="n">
        <x:v>539</x:v>
      </x:c>
      <x:c r="B540" s="101" t="n">
        <x:v>43624</x:v>
      </x:c>
      <x:c r="C540" s="102" t="n">
        <x:v>2019</x:v>
      </x:c>
      <x:c r="D540" s="103" t="str">
        <x:v>ID-221557714222</x:v>
      </x:c>
      <x:c r="E540" s="112" t="str">
        <x:v>[펌]타이머 프로그램으로 글 쓰기 자가 진단법</x:v>
      </x:c>
      <x:c r="F540" s="112" t="str">
        <x:v>웹소작법</x:v>
      </x:c>
      <x:c r="G540" s="112" t="str">
        <x:v>웹소설 직접</x:v>
      </x:c>
      <x:c r="H540" s="112" t="str">
        <x:v>작법·상업성</x:v>
      </x:c>
      <x:c r="I540" s="112" t="n">
        <x:v>2</x:v>
      </x:c>
      <x:c r="J540" s="112" t="str">
        <x:v>설정, 작법</x:v>
      </x:c>
      <x:c r="K540" s="112" t="str">
        <x:v>재게시</x:v>
      </x:c>
      <x:c r="L540" s="112" t="str">
        <x:v>높음</x:v>
      </x:c>
      <x:c r="M540" s="112" t="str">
        <x:v>제목의 펌/퍼옴 표시</x:v>
      </x:c>
      <x:c r="N540" s="116" t="str">
        <x:v>https://gall.dcinside.com/mgallery/board/view/?id=tgijjdd&amp;no=158128&amp;s_type=search_all&amp;s_keyword=%ED%83%80%EC%9D%B4%EB%A8%B8%EC%A2%8C&amp;search_pos=-153881&amp;page=1</x:v>
      </x:c>
      <x:c r="O540" s="116" t="str">
        <x:v>https://m.blog.naver.com/sntu2010/221557714222</x:v>
      </x:c>
      <x:c r="P540" s="112" t="str">
        <x:v>아니오</x:v>
      </x:c>
      <x:c r="Q540" s="113" t="str">
        <x:v>자동 분류·표본 검토 대상</x:v>
      </x:c>
    </x:row>
    <x:row r="541">
      <x:c r="A541" s="100" t="n">
        <x:v>540</x:v>
      </x:c>
      <x:c r="B541" s="101" t="n">
        <x:v>43624</x:v>
      </x:c>
      <x:c r="C541" s="102" t="n">
        <x:v>2019</x:v>
      </x:c>
      <x:c r="D541" s="103" t="str">
        <x:v>ID-221557529084</x:v>
      </x:c>
      <x:c r="E541" s="112" t="str">
        <x:v>[펌]웹소설 체크 리스트</x:v>
      </x:c>
      <x:c r="F541" s="112" t="str">
        <x:v>웹소작법</x:v>
      </x:c>
      <x:c r="G541" s="112" t="str">
        <x:v>웹소설 직접</x:v>
      </x:c>
      <x:c r="H541" s="112" t="str">
        <x:v>캐릭터·전개</x:v>
      </x:c>
      <x:c r="I541" s="112" t="n">
        <x:v>8</x:v>
      </x:c>
      <x:c r="J541" s="112" t="str">
        <x:v>주인공, 인물, 캐릭터, 전개, 관계</x:v>
      </x:c>
      <x:c r="K541" s="112" t="str">
        <x:v>재게시</x:v>
      </x:c>
      <x:c r="L541" s="112" t="str">
        <x:v>높음</x:v>
      </x:c>
      <x:c r="M541" s="112" t="str">
        <x:v>제목의 펌/퍼옴 표시</x:v>
      </x:c>
      <x:c r="N541" s="116" t="str">
        <x:v>https://gall.dcinside.com/mgallery/board/view/?id=tgijjdd&amp;no=157999&amp;exception_mode=recommend&amp;page=1</x:v>
      </x:c>
      <x:c r="O541" s="116" t="str">
        <x:v>https://m.blog.naver.com/sntu2010/221557529084</x:v>
      </x:c>
      <x:c r="P541" s="112" t="str">
        <x:v>예</x:v>
      </x:c>
      <x:c r="Q541" s="113" t="str">
        <x:v>자동 분류·표본 검토 대상</x:v>
      </x:c>
    </x:row>
    <x:row r="542">
      <x:c r="A542" s="100" t="n">
        <x:v>541</x:v>
      </x:c>
      <x:c r="B542" s="101" t="n">
        <x:v>43624</x:v>
      </x:c>
      <x:c r="C542" s="102" t="n">
        <x:v>2019</x:v>
      </x:c>
      <x:c r="D542" s="103" t="str">
        <x:v>ID-221557213502</x:v>
      </x:c>
      <x:c r="E542" s="112" t="str">
        <x:v>웹소설 생각 이것저것</x:v>
      </x:c>
      <x:c r="F542" s="112" t="str">
        <x:v>웹소생각</x:v>
      </x:c>
      <x:c r="G542" s="112" t="str">
        <x:v>웹소설 직접</x:v>
      </x:c>
      <x:c r="H542" s="112" t="str">
        <x:v>캐릭터·전개</x:v>
      </x:c>
      <x:c r="I542" s="112" t="n">
        <x:v>8</x:v>
      </x:c>
      <x:c r="J542" s="112" t="str">
        <x:v>플롯, 에피소드, 인물, 주인공</x:v>
      </x:c>
      <x:c r="K542" s="112" t="str">
        <x:v>본인 작성/의견 추정</x:v>
      </x:c>
      <x:c r="L542" s="112" t="str">
        <x:v>낮음</x:v>
      </x:c>
      <x:c r="M542" s="112" t="str">
        <x:v>재게시 표시는 없으나 저자성 직접 증거 부족</x:v>
      </x:c>
      <x:c r="N542" s="116" t="str"/>
      <x:c r="O542" s="116" t="str">
        <x:v>https://m.blog.naver.com/sntu2010/221557213502</x:v>
      </x:c>
      <x:c r="P542" s="112" t="str">
        <x:v>예</x:v>
      </x:c>
      <x:c r="Q542" s="113" t="str">
        <x:v>자동 분류·표본 검토 대상</x:v>
      </x:c>
    </x:row>
    <x:row r="543">
      <x:c r="A543" s="100" t="n">
        <x:v>542</x:v>
      </x:c>
      <x:c r="B543" s="101" t="n">
        <x:v>43624</x:v>
      </x:c>
      <x:c r="C543" s="102" t="n">
        <x:v>2019</x:v>
      </x:c>
      <x:c r="D543" s="103" t="str">
        <x:v>ID-221557166010</x:v>
      </x:c>
      <x:c r="E543" s="112" t="str">
        <x:v>[펌]웹소설 지망생을 위한 필력 증진 팁</x:v>
      </x:c>
      <x:c r="F543" s="112" t="str">
        <x:v>웹소작법</x:v>
      </x:c>
      <x:c r="G543" s="112" t="str">
        <x:v>웹소설 직접</x:v>
      </x:c>
      <x:c r="H543" s="112" t="str">
        <x:v>작법·상업성</x:v>
      </x:c>
      <x:c r="I543" s="112" t="n">
        <x:v>2</x:v>
      </x:c>
      <x:c r="J543" s="112" t="str">
        <x:v>문장, 작법</x:v>
      </x:c>
      <x:c r="K543" s="112" t="str">
        <x:v>재게시</x:v>
      </x:c>
      <x:c r="L543" s="112" t="str">
        <x:v>높음</x:v>
      </x:c>
      <x:c r="M543" s="112" t="str">
        <x:v>제목의 펌/퍼옴 표시</x:v>
      </x:c>
      <x:c r="N543" s="116" t="str">
        <x:v>https://gall.dcinside.com/mgallery/board/lists?id=tgijjdd&amp;exception_mode=recommend</x:v>
      </x:c>
      <x:c r="O543" s="116" t="str">
        <x:v>https://m.blog.naver.com/sntu2010/221557166010</x:v>
      </x:c>
      <x:c r="P543" s="112" t="str">
        <x:v>아니오</x:v>
      </x:c>
      <x:c r="Q543" s="113" t="str">
        <x:v>자동 분류·표본 검토 대상</x:v>
      </x:c>
    </x:row>
    <x:row r="544">
      <x:c r="A544" s="100" t="n">
        <x:v>543</x:v>
      </x:c>
      <x:c r="B544" s="101" t="n">
        <x:v>43621</x:v>
      </x:c>
      <x:c r="C544" s="102" t="n">
        <x:v>2019</x:v>
      </x:c>
      <x:c r="D544" s="103" t="str">
        <x:v>ID-221555249371</x:v>
      </x:c>
      <x:c r="E544" s="112" t="str">
        <x:v>웹소설 업무용 타이머 프로그램 '타임좌'</x:v>
      </x:c>
      <x:c r="F544" s="112" t="str">
        <x:v>웹소생각</x:v>
      </x:c>
      <x:c r="G544" s="112" t="str">
        <x:v>웹소설 직접</x:v>
      </x:c>
      <x:c r="H544" s="112" t="str">
        <x:v>작법·상업성</x:v>
      </x:c>
      <x:c r="I544" s="112" t="n">
        <x:v>2</x:v>
      </x:c>
      <x:c r="J544" s="112" t="str">
        <x:v>설정</x:v>
      </x:c>
      <x:c r="K544" s="112" t="str">
        <x:v>외부자료 소개/재가공</x:v>
      </x:c>
      <x:c r="L544" s="112" t="str">
        <x:v>중간</x:v>
      </x:c>
      <x:c r="M544" s="112" t="str">
        <x:v>본문 앞부분의 외부 출처 URL</x:v>
      </x:c>
      <x:c r="N544" s="116" t="str">
        <x:v>https://gall.dcinside.com/mgallery/board/view/?id=tgijjdd&amp;no=156287)</x:v>
      </x:c>
      <x:c r="O544" s="116" t="str">
        <x:v>https://m.blog.naver.com/sntu2010/221555249371</x:v>
      </x:c>
      <x:c r="P544" s="112" t="str">
        <x:v>아니오</x:v>
      </x:c>
      <x:c r="Q544" s="113" t="str">
        <x:v>수동 검토 필요</x:v>
      </x:c>
    </x:row>
    <x:row r="545">
      <x:c r="A545" s="100" t="n">
        <x:v>544</x:v>
      </x:c>
      <x:c r="B545" s="101" t="n">
        <x:v>43621</x:v>
      </x:c>
      <x:c r="C545" s="102" t="n">
        <x:v>2019</x:v>
      </x:c>
      <x:c r="D545" s="103" t="str">
        <x:v>ID-221555104382</x:v>
      </x:c>
      <x:c r="E545" s="112" t="str">
        <x:v>[펌]TRPG 게임 진행자를 위한 일곱가지 지침인데, 웹소설에도 적용될 거 같음</x:v>
      </x:c>
      <x:c r="F545" s="112" t="str">
        <x:v>웹소작법</x:v>
      </x:c>
      <x:c r="G545" s="112" t="str">
        <x:v>웹소설 직접</x:v>
      </x:c>
      <x:c r="H545" s="112" t="str">
        <x:v>캐릭터·전개</x:v>
      </x:c>
      <x:c r="I545" s="112" t="n">
        <x:v>6</x:v>
      </x:c>
      <x:c r="J545" s="112" t="str">
        <x:v>사건</x:v>
      </x:c>
      <x:c r="K545" s="112" t="str">
        <x:v>재게시</x:v>
      </x:c>
      <x:c r="L545" s="112" t="str">
        <x:v>높음</x:v>
      </x:c>
      <x:c r="M545" s="112" t="str">
        <x:v>제목의 펌/퍼옴 표시</x:v>
      </x:c>
      <x:c r="N545" s="116" t="str">
        <x:v>https://gall.dcinside.com/mgallery/board/view/?id=tgijjdd&amp;no=144921&amp;search_head=30&amp;page=1</x:v>
      </x:c>
      <x:c r="O545" s="116" t="str">
        <x:v>https://m.blog.naver.com/sntu2010/221555104382</x:v>
      </x:c>
      <x:c r="P545" s="112" t="str">
        <x:v>예</x:v>
      </x:c>
      <x:c r="Q545" s="113" t="str">
        <x:v>자동 분류·표본 검토 대상</x:v>
      </x:c>
    </x:row>
    <x:row r="546">
      <x:c r="A546" s="100" t="n">
        <x:v>545</x:v>
      </x:c>
      <x:c r="B546" s="101" t="n">
        <x:v>43620</x:v>
      </x:c>
      <x:c r="C546" s="102" t="n">
        <x:v>2019</x:v>
      </x:c>
      <x:c r="D546" s="103" t="str">
        <x:v>ID-221554414108</x:v>
      </x:c>
      <x:c r="E546" s="112" t="str">
        <x:v>[펌]웹소설 관련 정보 - 나무위키</x:v>
      </x:c>
      <x:c r="F546" s="112" t="str">
        <x:v>웹소작법</x:v>
      </x:c>
      <x:c r="G546" s="112" t="str">
        <x:v>웹소설 직접</x:v>
      </x:c>
      <x:c r="H546" s="112" t="str">
        <x:v>캐릭터·전개</x:v>
      </x:c>
      <x:c r="I546" s="112" t="n">
        <x:v>4</x:v>
      </x:c>
      <x:c r="J546" s="112" t="str">
        <x:v>서사, 관계, 전개, 사건</x:v>
      </x:c>
      <x:c r="K546" s="112" t="str">
        <x:v>재게시</x:v>
      </x:c>
      <x:c r="L546" s="112" t="str">
        <x:v>높음</x:v>
      </x:c>
      <x:c r="M546" s="112" t="str">
        <x:v>제목의 펌/퍼옴 표시</x:v>
      </x:c>
      <x:c r="N546" s="116" t="str">
        <x:v>https://namu.wiki/w/%EC%9B%B9%EC%86%8C%EC%84%A4</x:v>
      </x:c>
      <x:c r="O546" s="116" t="str">
        <x:v>https://m.blog.naver.com/sntu2010/221554414108</x:v>
      </x:c>
      <x:c r="P546" s="112" t="str">
        <x:v>아니오</x:v>
      </x:c>
      <x:c r="Q546" s="113" t="str">
        <x:v>자동 분류·표본 검토 대상</x:v>
      </x:c>
    </x:row>
    <x:row r="547">
      <x:c r="A547" s="100" t="n">
        <x:v>546</x:v>
      </x:c>
      <x:c r="B547" s="101" t="n">
        <x:v>43620</x:v>
      </x:c>
      <x:c r="C547" s="102" t="n">
        <x:v>2019</x:v>
      </x:c>
      <x:c r="D547" s="103" t="str">
        <x:v>ID-221554383937</x:v>
      </x:c>
      <x:c r="E547" s="112" t="str">
        <x:v>[펌]간단하게 써보는 카카오페이지 팁</x:v>
      </x:c>
      <x:c r="F547" s="112" t="str">
        <x:v>웹소작법</x:v>
      </x:c>
      <x:c r="G547" s="112" t="str">
        <x:v>웹소설 직접</x:v>
      </x:c>
      <x:c r="H547" s="112" t="str">
        <x:v>플랫폼·투고·계약</x:v>
      </x:c>
      <x:c r="I547" s="112" t="n">
        <x:v>23</x:v>
      </x:c>
      <x:c r="J547" s="112" t="str">
        <x:v>카카오, 문피아</x:v>
      </x:c>
      <x:c r="K547" s="112" t="str">
        <x:v>재게시</x:v>
      </x:c>
      <x:c r="L547" s="112" t="str">
        <x:v>높음</x:v>
      </x:c>
      <x:c r="M547" s="112" t="str">
        <x:v>제목의 펌/퍼옴 표시</x:v>
      </x:c>
      <x:c r="N547" s="116" t="str">
        <x:v>https://gall.dcinside.com/mgallery/board/view/?id=tgijjdd&amp;no=155518&amp;exception_mode=recommend&amp;page=1</x:v>
      </x:c>
      <x:c r="O547" s="116" t="str">
        <x:v>https://m.blog.naver.com/sntu2010/221554383937</x:v>
      </x:c>
      <x:c r="P547" s="112" t="str">
        <x:v>예</x:v>
      </x:c>
      <x:c r="Q547" s="113" t="str">
        <x:v>자동 분류·표본 검토 대상</x:v>
      </x:c>
    </x:row>
    <x:row r="548">
      <x:c r="A548" s="100" t="n">
        <x:v>547</x:v>
      </x:c>
      <x:c r="B548" s="101" t="n">
        <x:v>43620</x:v>
      </x:c>
      <x:c r="C548" s="102" t="n">
        <x:v>2019</x:v>
      </x:c>
      <x:c r="D548" s="103" t="str">
        <x:v>ID-221554368279</x:v>
      </x:c>
      <x:c r="E548" s="112" t="str">
        <x:v>[펌]시장은 변해도 근본은 불변한다</x:v>
      </x:c>
      <x:c r="F548" s="112" t="str">
        <x:v>웹소작법</x:v>
      </x:c>
      <x:c r="G548" s="112" t="str">
        <x:v>웹소설 직접</x:v>
      </x:c>
      <x:c r="H548" s="112" t="str">
        <x:v>작법·상업성</x:v>
      </x:c>
      <x:c r="I548" s="112" t="n">
        <x:v>7</x:v>
      </x:c>
      <x:c r="J548" s="112" t="str">
        <x:v>독자, 대리만족, 장르, 설정, 작법</x:v>
      </x:c>
      <x:c r="K548" s="112" t="str">
        <x:v>재게시</x:v>
      </x:c>
      <x:c r="L548" s="112" t="str">
        <x:v>높음</x:v>
      </x:c>
      <x:c r="M548" s="112" t="str">
        <x:v>제목의 펌/퍼옴 표시</x:v>
      </x:c>
      <x:c r="N548" s="116" t="str">
        <x:v>https://gall.dcinside.com/mgallery/board/view/?id=tgijjdd&amp;no=156220&amp;exception_mode=recommend&amp;page=1</x:v>
      </x:c>
      <x:c r="O548" s="116" t="str">
        <x:v>https://m.blog.naver.com/sntu2010/221554368279</x:v>
      </x:c>
      <x:c r="P548" s="112" t="str">
        <x:v>예</x:v>
      </x:c>
      <x:c r="Q548" s="113" t="str">
        <x:v>자동 분류·표본 검토 대상</x:v>
      </x:c>
    </x:row>
    <x:row r="549">
      <x:c r="A549" s="100" t="n">
        <x:v>548</x:v>
      </x:c>
      <x:c r="B549" s="101" t="n">
        <x:v>43620</x:v>
      </x:c>
      <x:c r="C549" s="102" t="n">
        <x:v>2019</x:v>
      </x:c>
      <x:c r="D549" s="103" t="str">
        <x:v>ID-221554304198</x:v>
      </x:c>
      <x:c r="E549" s="112" t="str">
        <x:v>소재가 없다? 아이디어가 찾아오기를 기다리지 말고 찾으러 가자!</x:v>
      </x:c>
      <x:c r="F549" s="112" t="str">
        <x:v>웹소생각</x:v>
      </x:c>
      <x:c r="G549" s="112" t="str">
        <x:v>웹소설 직접</x:v>
      </x:c>
      <x:c r="H549" s="112" t="str">
        <x:v>작법·상업성</x:v>
      </x:c>
      <x:c r="I549" s="112" t="n">
        <x:v>27</x:v>
      </x:c>
      <x:c r="J549" s="112" t="str">
        <x:v>소재, 설정</x:v>
      </x:c>
      <x:c r="K549" s="112" t="str">
        <x:v>본인 경험담 추정</x:v>
      </x:c>
      <x:c r="L549" s="112" t="str">
        <x:v>중간</x:v>
      </x:c>
      <x:c r="M549" s="112" t="str">
        <x:v>1인칭 경험·작품·계약 표현</x:v>
      </x:c>
      <x:c r="N549" s="116" t="str"/>
      <x:c r="O549" s="116" t="str">
        <x:v>https://m.blog.naver.com/sntu2010/221554304198</x:v>
      </x:c>
      <x:c r="P549" s="112" t="str">
        <x:v>예</x:v>
      </x:c>
      <x:c r="Q549" s="113" t="str">
        <x:v>자동 분류·표본 검토 대상</x:v>
      </x:c>
    </x:row>
    <x:row r="550">
      <x:c r="A550" s="100" t="n">
        <x:v>549</x:v>
      </x:c>
      <x:c r="B550" s="101" t="n">
        <x:v>43619</x:v>
      </x:c>
      <x:c r="C550" s="102" t="n">
        <x:v>2019</x:v>
      </x:c>
      <x:c r="D550" s="103" t="str">
        <x:v>ID-221553573533</x:v>
      </x:c>
      <x:c r="E550" s="112" t="str">
        <x:v>백종원이 웹소설을 쓴다면? 만류귀종!</x:v>
      </x:c>
      <x:c r="F550" s="112" t="str">
        <x:v>웹소생각</x:v>
      </x:c>
      <x:c r="G550" s="112" t="str">
        <x:v>웹소설 직접</x:v>
      </x:c>
      <x:c r="H550" s="112" t="str">
        <x:v>기타/검토</x:v>
      </x:c>
      <x:c r="I550" s="112" t="n">
        <x:v>0</x:v>
      </x:c>
      <x:c r="J550" s="112" t="str"/>
      <x:c r="K550" s="112" t="str">
        <x:v>본인 작성/의견 추정</x:v>
      </x:c>
      <x:c r="L550" s="112" t="str">
        <x:v>낮음</x:v>
      </x:c>
      <x:c r="M550" s="112" t="str">
        <x:v>재게시 표시는 없으나 저자성 직접 증거 부족</x:v>
      </x:c>
      <x:c r="N550" s="116" t="str"/>
      <x:c r="O550" s="116" t="str">
        <x:v>https://m.blog.naver.com/sntu2010/221553573533</x:v>
      </x:c>
      <x:c r="P550" s="112" t="str">
        <x:v>아니오</x:v>
      </x:c>
      <x:c r="Q550" s="113" t="str">
        <x:v>수동 검토 필요</x:v>
      </x:c>
    </x:row>
    <x:row r="551">
      <x:c r="A551" s="100" t="n">
        <x:v>550</x:v>
      </x:c>
      <x:c r="B551" s="101" t="n">
        <x:v>43614</x:v>
      </x:c>
      <x:c r="C551" s="102" t="n">
        <x:v>2019</x:v>
      </x:c>
      <x:c r="D551" s="103" t="str">
        <x:v>ID-221550011622</x:v>
      </x:c>
      <x:c r="E551" s="112" t="str">
        <x:v>웹소설 작가가 보는 '신호에로펜'이 주는 교훈</x:v>
      </x:c>
      <x:c r="F551" s="112" t="str">
        <x:v>웹소생각</x:v>
      </x:c>
      <x:c r="G551" s="112" t="str">
        <x:v>웹소설 직접</x:v>
      </x:c>
      <x:c r="H551" s="112" t="str">
        <x:v>기타/검토</x:v>
      </x:c>
      <x:c r="I551" s="112" t="n">
        <x:v>0</x:v>
      </x:c>
      <x:c r="J551" s="112" t="str"/>
      <x:c r="K551" s="112" t="str">
        <x:v>본인 작성/의견 추정</x:v>
      </x:c>
      <x:c r="L551" s="112" t="str">
        <x:v>낮음</x:v>
      </x:c>
      <x:c r="M551" s="112" t="str">
        <x:v>재게시 표시는 없으나 저자성 직접 증거 부족</x:v>
      </x:c>
      <x:c r="N551" s="116" t="str"/>
      <x:c r="O551" s="116" t="str">
        <x:v>https://m.blog.naver.com/sntu2010/221550011622</x:v>
      </x:c>
      <x:c r="P551" s="112" t="str">
        <x:v>아니오</x:v>
      </x:c>
      <x:c r="Q551" s="113" t="str">
        <x:v>수동 검토 필요</x:v>
      </x:c>
    </x:row>
    <x:row r="552">
      <x:c r="A552" s="100" t="n">
        <x:v>551</x:v>
      </x:c>
      <x:c r="B552" s="101" t="n">
        <x:v>43612</x:v>
      </x:c>
      <x:c r="C552" s="102" t="n">
        <x:v>2019</x:v>
      </x:c>
      <x:c r="D552" s="103" t="str">
        <x:v>ID-221547714091</x:v>
      </x:c>
      <x:c r="E552" s="112" t="str">
        <x:v>[펌]글 쓰다가 스토리 막혀서 해보는 웹소설 분석</x:v>
      </x:c>
      <x:c r="F552" s="112" t="str">
        <x:v>웹소작법</x:v>
      </x:c>
      <x:c r="G552" s="112" t="str">
        <x:v>웹소설 직접</x:v>
      </x:c>
      <x:c r="H552" s="112" t="str">
        <x:v>작법·상업성</x:v>
      </x:c>
      <x:c r="I552" s="112" t="n">
        <x:v>4</x:v>
      </x:c>
      <x:c r="J552" s="112" t="str">
        <x:v>독자, 클리셰, 소재, 작법</x:v>
      </x:c>
      <x:c r="K552" s="112" t="str">
        <x:v>재게시</x:v>
      </x:c>
      <x:c r="L552" s="112" t="str">
        <x:v>높음</x:v>
      </x:c>
      <x:c r="M552" s="112" t="str">
        <x:v>제목의 펌/퍼옴 표시</x:v>
      </x:c>
      <x:c r="N552" s="116" t="str">
        <x:v>https://gall.dcinside.com/mgallery/board/view/?id=tgijjdd&amp;no=152274&amp;exception_mode=recommend&amp;page=1</x:v>
      </x:c>
      <x:c r="O552" s="116" t="str">
        <x:v>https://m.blog.naver.com/sntu2010/221547714091</x:v>
      </x:c>
      <x:c r="P552" s="112" t="str">
        <x:v>아니오</x:v>
      </x:c>
      <x:c r="Q552" s="113" t="str">
        <x:v>자동 분류·표본 검토 대상</x:v>
      </x:c>
    </x:row>
    <x:row r="553">
      <x:c r="A553" s="100" t="n">
        <x:v>552</x:v>
      </x:c>
      <x:c r="B553" s="101" t="n">
        <x:v>43610</x:v>
      </x:c>
      <x:c r="C553" s="102" t="n">
        <x:v>2019</x:v>
      </x:c>
      <x:c r="D553" s="103" t="str">
        <x:v>ID-221546657076</x:v>
      </x:c>
      <x:c r="E553" s="112" t="str">
        <x:v>[펌]실용적인 작법팁과 마음가짐</x:v>
      </x:c>
      <x:c r="F553" s="112" t="str">
        <x:v>웹소작법</x:v>
      </x:c>
      <x:c r="G553" s="112" t="str">
        <x:v>웹소설 직접</x:v>
      </x:c>
      <x:c r="H553" s="112" t="str">
        <x:v>작법·상업성</x:v>
      </x:c>
      <x:c r="I553" s="112" t="n">
        <x:v>21</x:v>
      </x:c>
      <x:c r="J553" s="112" t="str">
        <x:v>작법</x:v>
      </x:c>
      <x:c r="K553" s="112" t="str">
        <x:v>재게시</x:v>
      </x:c>
      <x:c r="L553" s="112" t="str">
        <x:v>높음</x:v>
      </x:c>
      <x:c r="M553" s="112" t="str">
        <x:v>제목의 펌/퍼옴 표시</x:v>
      </x:c>
      <x:c r="N553" s="116" t="str">
        <x:v>https://gall.dcinside.com/mgallery/board/view/?id=tgijjdd&amp;no=151901&amp;exception_mode=recommend&amp;page=1</x:v>
      </x:c>
      <x:c r="O553" s="116" t="str">
        <x:v>https://m.blog.naver.com/sntu2010/221546657076</x:v>
      </x:c>
      <x:c r="P553" s="112" t="str">
        <x:v>예</x:v>
      </x:c>
      <x:c r="Q553" s="113" t="str">
        <x:v>자동 분류·표본 검토 대상</x:v>
      </x:c>
    </x:row>
    <x:row r="554">
      <x:c r="A554" s="100" t="n">
        <x:v>553</x:v>
      </x:c>
      <x:c r="B554" s="101" t="n">
        <x:v>43608</x:v>
      </x:c>
      <x:c r="C554" s="102" t="n">
        <x:v>2019</x:v>
      </x:c>
      <x:c r="D554" s="103" t="str">
        <x:v>ID-221545200863</x:v>
      </x:c>
      <x:c r="E554" s="112" t="str">
        <x:v>[펌]웹소설 지망생들 필독!</x:v>
      </x:c>
      <x:c r="F554" s="112" t="str">
        <x:v>웹소작법</x:v>
      </x:c>
      <x:c r="G554" s="112" t="str">
        <x:v>웹소설 직접</x:v>
      </x:c>
      <x:c r="H554" s="112" t="str">
        <x:v>초반부/연독률</x:v>
      </x:c>
      <x:c r="I554" s="112" t="n">
        <x:v>4</x:v>
      </x:c>
      <x:c r="J554" s="112" t="str">
        <x:v>25화, 1화, 연독</x:v>
      </x:c>
      <x:c r="K554" s="112" t="str">
        <x:v>재게시</x:v>
      </x:c>
      <x:c r="L554" s="112" t="str">
        <x:v>높음</x:v>
      </x:c>
      <x:c r="M554" s="112" t="str">
        <x:v>제목의 펌/퍼옴 표시</x:v>
      </x:c>
      <x:c r="N554" s="116" t="str">
        <x:v>https://gall.dcinside.com/mgallery/board/view/?id=tgijjdd&amp;no=151017&amp;exception_mode=recommend&amp;page=1</x:v>
      </x:c>
      <x:c r="O554" s="116" t="str">
        <x:v>https://m.blog.naver.com/sntu2010/221545200863</x:v>
      </x:c>
      <x:c r="P554" s="112" t="str">
        <x:v>아니오</x:v>
      </x:c>
      <x:c r="Q554" s="113" t="str">
        <x:v>자동 분류·표본 검토 대상</x:v>
      </x:c>
    </x:row>
    <x:row r="555">
      <x:c r="A555" s="100" t="n">
        <x:v>554</x:v>
      </x:c>
      <x:c r="B555" s="101" t="n">
        <x:v>43608</x:v>
      </x:c>
      <x:c r="C555" s="102" t="n">
        <x:v>2019</x:v>
      </x:c>
      <x:c r="D555" s="103" t="str">
        <x:v>ID-221545200459</x:v>
      </x:c>
      <x:c r="E555" s="112" t="str">
        <x:v>[펌]공모전 작품들 유료 전환율은 얼마나 될까?</x:v>
      </x:c>
      <x:c r="F555" s="112" t="str">
        <x:v>웹소작법</x:v>
      </x:c>
      <x:c r="G555" s="112" t="str">
        <x:v>웹소설 직접</x:v>
      </x:c>
      <x:c r="H555" s="112" t="str">
        <x:v>플랫폼·투고·계약</x:v>
      </x:c>
      <x:c r="I555" s="112" t="n">
        <x:v>20</x:v>
      </x:c>
      <x:c r="J555" s="112" t="str">
        <x:v>공모전</x:v>
      </x:c>
      <x:c r="K555" s="112" t="str">
        <x:v>재게시</x:v>
      </x:c>
      <x:c r="L555" s="112" t="str">
        <x:v>높음</x:v>
      </x:c>
      <x:c r="M555" s="112" t="str">
        <x:v>제목의 펌/퍼옴 표시</x:v>
      </x:c>
      <x:c r="N555" s="116" t="str">
        <x:v>https://gall.dcinside.com/mgallery/board/view/?id=tgijjdd&amp;no=150929&amp;exception_mode=recommend&amp;page=1</x:v>
      </x:c>
      <x:c r="O555" s="116" t="str">
        <x:v>https://m.blog.naver.com/sntu2010/221545200459</x:v>
      </x:c>
      <x:c r="P555" s="112" t="str">
        <x:v>예</x:v>
      </x:c>
      <x:c r="Q555" s="113" t="str">
        <x:v>자동 분류·표본 검토 대상</x:v>
      </x:c>
    </x:row>
    <x:row r="556">
      <x:c r="A556" s="100" t="n">
        <x:v>555</x:v>
      </x:c>
      <x:c r="B556" s="101" t="n">
        <x:v>43608</x:v>
      </x:c>
      <x:c r="C556" s="102" t="n">
        <x:v>2019</x:v>
      </x:c>
      <x:c r="D556" s="103" t="str">
        <x:v>ID-221545200212</x:v>
      </x:c>
      <x:c r="E556" s="112" t="str">
        <x:v>[펌]잘 나가는 작품들은 몇 편에서 유료 전환 했을까?</x:v>
      </x:c>
      <x:c r="F556" s="112" t="str">
        <x:v>웹소작법</x:v>
      </x:c>
      <x:c r="G556" s="112" t="str">
        <x:v>웹소설 직접</x:v>
      </x:c>
      <x:c r="H556" s="112" t="str">
        <x:v>수익·운영</x:v>
      </x:c>
      <x:c r="I556" s="112" t="n">
        <x:v>1</x:v>
      </x:c>
      <x:c r="J556" s="112" t="str">
        <x:v>매출</x:v>
      </x:c>
      <x:c r="K556" s="112" t="str">
        <x:v>재게시</x:v>
      </x:c>
      <x:c r="L556" s="112" t="str">
        <x:v>높음</x:v>
      </x:c>
      <x:c r="M556" s="112" t="str">
        <x:v>제목의 펌/퍼옴 표시</x:v>
      </x:c>
      <x:c r="N556" s="116" t="str">
        <x:v>https://gall.dcinside.com/mgallery/board/view/?id=tgijjdd&amp;no=150952&amp;exception_mode=recommend&amp;page=1</x:v>
      </x:c>
      <x:c r="O556" s="116" t="str">
        <x:v>https://m.blog.naver.com/sntu2010/221545200212</x:v>
      </x:c>
      <x:c r="P556" s="112" t="str">
        <x:v>아니오</x:v>
      </x:c>
      <x:c r="Q556" s="113" t="str">
        <x:v>자동 분류·표본 검토 대상</x:v>
      </x:c>
    </x:row>
    <x:row r="557">
      <x:c r="A557" s="100" t="n">
        <x:v>556</x:v>
      </x:c>
      <x:c r="B557" s="101" t="n">
        <x:v>43606</x:v>
      </x:c>
      <x:c r="C557" s="102" t="n">
        <x:v>2019</x:v>
      </x:c>
      <x:c r="D557" s="103" t="str">
        <x:v>ID-221542996145</x:v>
      </x:c>
      <x:c r="E557" s="112" t="str">
        <x:v>[펌]후배들에게 알려주고 싶은 것. 10</x:v>
      </x:c>
      <x:c r="F557" s="112" t="str">
        <x:v>웹소작법</x:v>
      </x:c>
      <x:c r="G557" s="112" t="str">
        <x:v>웹소설 직접</x:v>
      </x:c>
      <x:c r="H557" s="112" t="str">
        <x:v>캐릭터·전개</x:v>
      </x:c>
      <x:c r="I557" s="112" t="n">
        <x:v>6</x:v>
      </x:c>
      <x:c r="J557" s="112" t="str">
        <x:v>주인공, 조연</x:v>
      </x:c>
      <x:c r="K557" s="112" t="str">
        <x:v>재게시</x:v>
      </x:c>
      <x:c r="L557" s="112" t="str">
        <x:v>높음</x:v>
      </x:c>
      <x:c r="M557" s="112" t="str">
        <x:v>제목의 펌/퍼옴 표시</x:v>
      </x:c>
      <x:c r="N557" s="116" t="str">
        <x:v>https://gall.dcinside.com/mgallery/board/view/?id=tgijjdd&amp;no=149433&amp;exception_mode=recommend&amp;page=1</x:v>
      </x:c>
      <x:c r="O557" s="116" t="str">
        <x:v>https://m.blog.naver.com/sntu2010/221542996145</x:v>
      </x:c>
      <x:c r="P557" s="112" t="str">
        <x:v>예</x:v>
      </x:c>
      <x:c r="Q557" s="113" t="str">
        <x:v>자동 분류·표본 검토 대상</x:v>
      </x:c>
    </x:row>
    <x:row r="558">
      <x:c r="A558" s="100" t="n">
        <x:v>557</x:v>
      </x:c>
      <x:c r="B558" s="101" t="n">
        <x:v>43606</x:v>
      </x:c>
      <x:c r="C558" s="102" t="n">
        <x:v>2019</x:v>
      </x:c>
      <x:c r="D558" s="103" t="str">
        <x:v>ID-221542994898</x:v>
      </x:c>
      <x:c r="E558" s="112" t="str">
        <x:v>[펌]플롯 문제와 그 해결책</x:v>
      </x:c>
      <x:c r="F558" s="112" t="str">
        <x:v>웹소작법</x:v>
      </x:c>
      <x:c r="G558" s="112" t="str">
        <x:v>웹소설 직접</x:v>
      </x:c>
      <x:c r="H558" s="112" t="str">
        <x:v>캐릭터·전개</x:v>
      </x:c>
      <x:c r="I558" s="112" t="n">
        <x:v>28</x:v>
      </x:c>
      <x:c r="J558" s="112" t="str">
        <x:v>플롯, 주인공, 인물, 서사</x:v>
      </x:c>
      <x:c r="K558" s="112" t="str">
        <x:v>재게시</x:v>
      </x:c>
      <x:c r="L558" s="112" t="str">
        <x:v>높음</x:v>
      </x:c>
      <x:c r="M558" s="112" t="str">
        <x:v>제목의 펌/퍼옴 표시</x:v>
      </x:c>
      <x:c r="N558" s="116" t="str">
        <x:v>https://gall.dcinside.com/mgallery/board/view/?id=tgijjdd&amp;no=149113&amp;exception_mode=recommend&amp;page=1</x:v>
      </x:c>
      <x:c r="O558" s="116" t="str">
        <x:v>https://m.blog.naver.com/sntu2010/221542994898</x:v>
      </x:c>
      <x:c r="P558" s="112" t="str">
        <x:v>예</x:v>
      </x:c>
      <x:c r="Q558" s="113" t="str">
        <x:v>자동 분류·표본 검토 대상</x:v>
      </x:c>
    </x:row>
    <x:row r="559">
      <x:c r="A559" s="100" t="n">
        <x:v>558</x:v>
      </x:c>
      <x:c r="B559" s="101" t="n">
        <x:v>43602</x:v>
      </x:c>
      <x:c r="C559" s="102" t="n">
        <x:v>2019</x:v>
      </x:c>
      <x:c r="D559" s="103" t="str">
        <x:v>ID-221539657666</x:v>
      </x:c>
      <x:c r="E559" s="112" t="str">
        <x:v>자기복제하는 작가라는 소리를 들었을 때 대처 법!</x:v>
      </x:c>
      <x:c r="F559" s="112" t="str">
        <x:v>웹소생각</x:v>
      </x:c>
      <x:c r="G559" s="112" t="str">
        <x:v>웹소설 직접</x:v>
      </x:c>
      <x:c r="H559" s="112" t="str">
        <x:v>작법·상업성</x:v>
      </x:c>
      <x:c r="I559" s="112" t="n">
        <x:v>1</x:v>
      </x:c>
      <x:c r="J559" s="112" t="str">
        <x:v>독자</x:v>
      </x:c>
      <x:c r="K559" s="112" t="str">
        <x:v>본인 경험담 추정</x:v>
      </x:c>
      <x:c r="L559" s="112" t="str">
        <x:v>중간</x:v>
      </x:c>
      <x:c r="M559" s="112" t="str">
        <x:v>1인칭 경험·작품·계약 표현</x:v>
      </x:c>
      <x:c r="N559" s="116" t="str"/>
      <x:c r="O559" s="116" t="str">
        <x:v>https://m.blog.naver.com/sntu2010/221539657666</x:v>
      </x:c>
      <x:c r="P559" s="112" t="str">
        <x:v>아니오</x:v>
      </x:c>
      <x:c r="Q559" s="113" t="str">
        <x:v>수동 검토 필요</x:v>
      </x:c>
    </x:row>
    <x:row r="560">
      <x:c r="A560" s="100" t="n">
        <x:v>559</x:v>
      </x:c>
      <x:c r="B560" s="101" t="n">
        <x:v>43600</x:v>
      </x:c>
      <x:c r="C560" s="102" t="n">
        <x:v>2019</x:v>
      </x:c>
      <x:c r="D560" s="103" t="str">
        <x:v>ID-221538657351</x:v>
      </x:c>
      <x:c r="E560" s="112" t="str">
        <x:v>이것만 명심해도 내 웹소설이 상위권에 간다.</x:v>
      </x:c>
      <x:c r="F560" s="112" t="str">
        <x:v>웹소생각</x:v>
      </x:c>
      <x:c r="G560" s="112" t="str">
        <x:v>웹소설 직접</x:v>
      </x:c>
      <x:c r="H560" s="112" t="str">
        <x:v>캐릭터·전개</x:v>
      </x:c>
      <x:c r="I560" s="112" t="n">
        <x:v>6</x:v>
      </x:c>
      <x:c r="J560" s="112" t="str">
        <x:v>주인공</x:v>
      </x:c>
      <x:c r="K560" s="112" t="str">
        <x:v>본인 작성/의견 추정</x:v>
      </x:c>
      <x:c r="L560" s="112" t="str">
        <x:v>낮음</x:v>
      </x:c>
      <x:c r="M560" s="112" t="str">
        <x:v>재게시 표시는 없으나 저자성 직접 증거 부족</x:v>
      </x:c>
      <x:c r="N560" s="116" t="str"/>
      <x:c r="O560" s="116" t="str">
        <x:v>https://m.blog.naver.com/sntu2010/221538657351</x:v>
      </x:c>
      <x:c r="P560" s="112" t="str">
        <x:v>예</x:v>
      </x:c>
      <x:c r="Q560" s="113" t="str">
        <x:v>자동 분류·표본 검토 대상</x:v>
      </x:c>
    </x:row>
    <x:row r="561">
      <x:c r="A561" s="100" t="n">
        <x:v>560</x:v>
      </x:c>
      <x:c r="B561" s="101" t="n">
        <x:v>43600</x:v>
      </x:c>
      <x:c r="C561" s="102" t="n">
        <x:v>2019</x:v>
      </x:c>
      <x:c r="D561" s="103" t="str">
        <x:v>ID-221538648977</x:v>
      </x:c>
      <x:c r="E561" s="112" t="str">
        <x:v>웹소설 플롯을 짜는 자세한 방법</x:v>
      </x:c>
      <x:c r="F561" s="112" t="str">
        <x:v>웹소생각</x:v>
      </x:c>
      <x:c r="G561" s="112" t="str">
        <x:v>웹소설 직접</x:v>
      </x:c>
      <x:c r="H561" s="112" t="str">
        <x:v>캐릭터·전개</x:v>
      </x:c>
      <x:c r="I561" s="112" t="n">
        <x:v>28</x:v>
      </x:c>
      <x:c r="J561" s="112" t="str">
        <x:v>플롯, 주인공, 인물</x:v>
      </x:c>
      <x:c r="K561" s="112" t="str">
        <x:v>본인 작성/의견 추정</x:v>
      </x:c>
      <x:c r="L561" s="112" t="str">
        <x:v>낮음</x:v>
      </x:c>
      <x:c r="M561" s="112" t="str">
        <x:v>재게시 표시는 없으나 저자성 직접 증거 부족</x:v>
      </x:c>
      <x:c r="N561" s="116" t="str"/>
      <x:c r="O561" s="116" t="str">
        <x:v>https://m.blog.naver.com/sntu2010/221538648977</x:v>
      </x:c>
      <x:c r="P561" s="112" t="str">
        <x:v>예</x:v>
      </x:c>
      <x:c r="Q561" s="113" t="str">
        <x:v>자동 분류·표본 검토 대상</x:v>
      </x:c>
    </x:row>
    <x:row r="562">
      <x:c r="A562" s="100" t="n">
        <x:v>561</x:v>
      </x:c>
      <x:c r="B562" s="101" t="n">
        <x:v>43600</x:v>
      </x:c>
      <x:c r="C562" s="102" t="n">
        <x:v>2019</x:v>
      </x:c>
      <x:c r="D562" s="103" t="str">
        <x:v>ID-221538600359</x:v>
      </x:c>
      <x:c r="E562" s="112" t="str">
        <x:v>웹소설 연재하다가 중후반에 글이 무너지는 이유</x:v>
      </x:c>
      <x:c r="F562" s="112" t="str">
        <x:v>웹소생각</x:v>
      </x:c>
      <x:c r="G562" s="112" t="str">
        <x:v>웹소설 직접</x:v>
      </x:c>
      <x:c r="H562" s="112" t="str">
        <x:v>캐릭터·전개</x:v>
      </x:c>
      <x:c r="I562" s="112" t="n">
        <x:v>8</x:v>
      </x:c>
      <x:c r="J562" s="112" t="str">
        <x:v>플롯, 인물, 캐릭터, 관계, 주인공</x:v>
      </x:c>
      <x:c r="K562" s="112" t="str">
        <x:v>본인 경험담 추정</x:v>
      </x:c>
      <x:c r="L562" s="112" t="str">
        <x:v>중간</x:v>
      </x:c>
      <x:c r="M562" s="112" t="str">
        <x:v>1인칭 경험·작품·계약 표현</x:v>
      </x:c>
      <x:c r="N562" s="116" t="str"/>
      <x:c r="O562" s="116" t="str">
        <x:v>https://m.blog.naver.com/sntu2010/221538600359</x:v>
      </x:c>
      <x:c r="P562" s="112" t="str">
        <x:v>예</x:v>
      </x:c>
      <x:c r="Q562" s="113" t="str">
        <x:v>자동 분류·표본 검토 대상</x:v>
      </x:c>
    </x:row>
    <x:row r="563">
      <x:c r="A563" s="100" t="n">
        <x:v>562</x:v>
      </x:c>
      <x:c r="B563" s="101" t="n">
        <x:v>43600</x:v>
      </x:c>
      <x:c r="C563" s="102" t="n">
        <x:v>2019</x:v>
      </x:c>
      <x:c r="D563" s="103" t="str">
        <x:v>ID-221538373583</x:v>
      </x:c>
      <x:c r="E563" s="112" t="str">
        <x:v>[공유] [정보] 소설 잘 쓰는 법/세계관 짜는 법/만화스토리 짜는 법</x:v>
      </x:c>
      <x:c r="F563" s="112" t="str">
        <x:v>웹소작법</x:v>
      </x:c>
      <x:c r="G563" s="112" t="str">
        <x:v>웹소설 직접</x:v>
      </x:c>
      <x:c r="H563" s="112" t="str">
        <x:v>작법·상업성</x:v>
      </x:c>
      <x:c r="I563" s="112" t="n">
        <x:v>1</x:v>
      </x:c>
      <x:c r="J563" s="112" t="str">
        <x:v>작법</x:v>
      </x:c>
      <x:c r="K563" s="112" t="str">
        <x:v>본인 작성/의견 추정</x:v>
      </x:c>
      <x:c r="L563" s="112" t="str">
        <x:v>낮음</x:v>
      </x:c>
      <x:c r="M563" s="112" t="str">
        <x:v>재게시 표시는 없으나 저자성 직접 증거 부족</x:v>
      </x:c>
      <x:c r="N563" s="116" t="str"/>
      <x:c r="O563" s="116" t="str">
        <x:v>https://m.blog.naver.com/sntu2010/221538373583</x:v>
      </x:c>
      <x:c r="P563" s="112" t="str">
        <x:v>아니오</x:v>
      </x:c>
      <x:c r="Q563" s="113" t="str">
        <x:v>수동 검토 필요</x:v>
      </x:c>
    </x:row>
    <x:row r="564">
      <x:c r="A564" s="100" t="n">
        <x:v>563</x:v>
      </x:c>
      <x:c r="B564" s="101" t="n">
        <x:v>43599</x:v>
      </x:c>
      <x:c r="C564" s="102" t="n">
        <x:v>2019</x:v>
      </x:c>
      <x:c r="D564" s="103" t="str">
        <x:v>ID-221537881734</x:v>
      </x:c>
      <x:c r="E564" s="112" t="str">
        <x:v>[펌]카카오 프로모션 정리.jpg</x:v>
      </x:c>
      <x:c r="F564" s="112" t="str">
        <x:v>웹소작법</x:v>
      </x:c>
      <x:c r="G564" s="112" t="str">
        <x:v>웹소설 직접</x:v>
      </x:c>
      <x:c r="H564" s="112" t="str">
        <x:v>플랫폼·투고·계약</x:v>
      </x:c>
      <x:c r="I564" s="112" t="n">
        <x:v>27</x:v>
      </x:c>
      <x:c r="J564" s="112" t="str">
        <x:v>카카오, 플랫폼, 독점, 문피아, 매니지</x:v>
      </x:c>
      <x:c r="K564" s="112" t="str">
        <x:v>재게시</x:v>
      </x:c>
      <x:c r="L564" s="112" t="str">
        <x:v>높음</x:v>
      </x:c>
      <x:c r="M564" s="112" t="str">
        <x:v>제목의 펌/퍼옴 표시</x:v>
      </x:c>
      <x:c r="N564" s="116" t="str">
        <x:v>https://gall.dcinside.com/mgallery/board/view/?id=tgijjdd&amp;no=146915&amp;exception_mode=recommend&amp;page=1</x:v>
      </x:c>
      <x:c r="O564" s="116" t="str">
        <x:v>https://m.blog.naver.com/sntu2010/221537881734</x:v>
      </x:c>
      <x:c r="P564" s="112" t="str">
        <x:v>예</x:v>
      </x:c>
      <x:c r="Q564" s="113" t="str">
        <x:v>자동 분류·표본 검토 대상</x:v>
      </x:c>
    </x:row>
    <x:row r="565">
      <x:c r="A565" s="100" t="n">
        <x:v>564</x:v>
      </x:c>
      <x:c r="B565" s="101" t="n">
        <x:v>43599</x:v>
      </x:c>
      <x:c r="C565" s="102" t="n">
        <x:v>2019</x:v>
      </x:c>
      <x:c r="D565" s="103" t="str">
        <x:v>ID-221537876204</x:v>
      </x:c>
      <x:c r="E565" s="112" t="str">
        <x:v>[펌]연재할 때 피해야 하는 것</x:v>
      </x:c>
      <x:c r="F565" s="112" t="str">
        <x:v>웹소작법</x:v>
      </x:c>
      <x:c r="G565" s="112" t="str">
        <x:v>웹소설 직접</x:v>
      </x:c>
      <x:c r="H565" s="112" t="str">
        <x:v>작법·상업성</x:v>
      </x:c>
      <x:c r="I565" s="112" t="n">
        <x:v>4</x:v>
      </x:c>
      <x:c r="J565" s="112" t="str">
        <x:v>독자, 작법</x:v>
      </x:c>
      <x:c r="K565" s="112" t="str">
        <x:v>재게시</x:v>
      </x:c>
      <x:c r="L565" s="112" t="str">
        <x:v>높음</x:v>
      </x:c>
      <x:c r="M565" s="112" t="str">
        <x:v>제목의 펌/퍼옴 표시</x:v>
      </x:c>
      <x:c r="N565" s="116" t="str">
        <x:v>https://gall.dcinside.com/mgallery/board/view/?id=tgijjdd&amp;no=147218&amp;exception_mode=recommend&amp;page=1</x:v>
      </x:c>
      <x:c r="O565" s="116" t="str">
        <x:v>https://m.blog.naver.com/sntu2010/221537876204</x:v>
      </x:c>
      <x:c r="P565" s="112" t="str">
        <x:v>아니오</x:v>
      </x:c>
      <x:c r="Q565" s="113" t="str">
        <x:v>자동 분류·표본 검토 대상</x:v>
      </x:c>
    </x:row>
    <x:row r="566">
      <x:c r="A566" s="100" t="n">
        <x:v>565</x:v>
      </x:c>
      <x:c r="B566" s="101" t="n">
        <x:v>43599</x:v>
      </x:c>
      <x:c r="C566" s="102" t="n">
        <x:v>2019</x:v>
      </x:c>
      <x:c r="D566" s="103" t="str">
        <x:v>ID-221537147338</x:v>
      </x:c>
      <x:c r="E566" s="112" t="str">
        <x:v>초심자에게 최강의 플롯을 알아보자!</x:v>
      </x:c>
      <x:c r="F566" s="112" t="str">
        <x:v>웹소생각</x:v>
      </x:c>
      <x:c r="G566" s="112" t="str">
        <x:v>웹소설 직접</x:v>
      </x:c>
      <x:c r="H566" s="112" t="str">
        <x:v>캐릭터·전개</x:v>
      </x:c>
      <x:c r="I566" s="112" t="n">
        <x:v>27</x:v>
      </x:c>
      <x:c r="J566" s="112" t="str">
        <x:v>플롯, 주인공</x:v>
      </x:c>
      <x:c r="K566" s="112" t="str">
        <x:v>본인 작성/의견 추정</x:v>
      </x:c>
      <x:c r="L566" s="112" t="str">
        <x:v>낮음</x:v>
      </x:c>
      <x:c r="M566" s="112" t="str">
        <x:v>재게시 표시는 없으나 저자성 직접 증거 부족</x:v>
      </x:c>
      <x:c r="N566" s="116" t="str"/>
      <x:c r="O566" s="116" t="str">
        <x:v>https://m.blog.naver.com/sntu2010/221537147338</x:v>
      </x:c>
      <x:c r="P566" s="112" t="str">
        <x:v>예</x:v>
      </x:c>
      <x:c r="Q566" s="113" t="str">
        <x:v>자동 분류·표본 검토 대상</x:v>
      </x:c>
    </x:row>
    <x:row r="567">
      <x:c r="A567" s="100" t="n">
        <x:v>566</x:v>
      </x:c>
      <x:c r="B567" s="101" t="n">
        <x:v>43598</x:v>
      </x:c>
      <x:c r="C567" s="102" t="n">
        <x:v>2019</x:v>
      </x:c>
      <x:c r="D567" s="103" t="str">
        <x:v>ID-221536610574</x:v>
      </x:c>
      <x:c r="E567" s="112" t="str">
        <x:v>웹소설 중후반에 가면 글이 막히거나 느려지는 이유? 답은 플롯이다!</x:v>
      </x:c>
      <x:c r="F567" s="112" t="str">
        <x:v>웹소생각</x:v>
      </x:c>
      <x:c r="G567" s="112" t="str">
        <x:v>웹소설 직접</x:v>
      </x:c>
      <x:c r="H567" s="112" t="str">
        <x:v>캐릭터·전개</x:v>
      </x:c>
      <x:c r="I567" s="112" t="n">
        <x:v>26</x:v>
      </x:c>
      <x:c r="J567" s="112" t="str">
        <x:v>플롯, 사건, 인물</x:v>
      </x:c>
      <x:c r="K567" s="112" t="str">
        <x:v>본인 작성/의견 추정</x:v>
      </x:c>
      <x:c r="L567" s="112" t="str">
        <x:v>낮음</x:v>
      </x:c>
      <x:c r="M567" s="112" t="str">
        <x:v>재게시 표시는 없으나 저자성 직접 증거 부족</x:v>
      </x:c>
      <x:c r="N567" s="116" t="str"/>
      <x:c r="O567" s="116" t="str">
        <x:v>https://m.blog.naver.com/sntu2010/221536610574</x:v>
      </x:c>
      <x:c r="P567" s="112" t="str">
        <x:v>예</x:v>
      </x:c>
      <x:c r="Q567" s="113" t="str">
        <x:v>자동 분류·표본 검토 대상</x:v>
      </x:c>
    </x:row>
    <x:row r="568">
      <x:c r="A568" s="100" t="n">
        <x:v>567</x:v>
      </x:c>
      <x:c r="B568" s="101" t="n">
        <x:v>43598</x:v>
      </x:c>
      <x:c r="C568" s="102" t="n">
        <x:v>2019</x:v>
      </x:c>
      <x:c r="D568" s="103" t="str">
        <x:v>ID-221536568144</x:v>
      </x:c>
      <x:c r="E568" s="112" t="str">
        <x:v>[펌]설정 및 플롯이 중요한 이유</x:v>
      </x:c>
      <x:c r="F568" s="112" t="str">
        <x:v>웹소작법</x:v>
      </x:c>
      <x:c r="G568" s="112" t="str">
        <x:v>웹소설 직접</x:v>
      </x:c>
      <x:c r="H568" s="112" t="str">
        <x:v>작법·상업성</x:v>
      </x:c>
      <x:c r="I568" s="112" t="n">
        <x:v>24</x:v>
      </x:c>
      <x:c r="J568" s="112" t="str">
        <x:v>설정, 소재, 독자, 작법</x:v>
      </x:c>
      <x:c r="K568" s="112" t="str">
        <x:v>재게시</x:v>
      </x:c>
      <x:c r="L568" s="112" t="str">
        <x:v>높음</x:v>
      </x:c>
      <x:c r="M568" s="112" t="str">
        <x:v>제목의 펌/퍼옴 표시</x:v>
      </x:c>
      <x:c r="N568" s="116" t="str">
        <x:v>https://gall.dcinside.com/mgallery/board/view/?id=tgijjdd&amp;no=145828&amp;s_type=search_all&amp;s_keyword=%ED%94%8C%EB%A1%AF&amp;page=1</x:v>
      </x:c>
      <x:c r="O568" s="116" t="str">
        <x:v>https://m.blog.naver.com/sntu2010/221536568144</x:v>
      </x:c>
      <x:c r="P568" s="112" t="str">
        <x:v>예</x:v>
      </x:c>
      <x:c r="Q568" s="113" t="str">
        <x:v>자동 분류·표본 검토 대상</x:v>
      </x:c>
    </x:row>
    <x:row r="569">
      <x:c r="A569" s="100" t="n">
        <x:v>568</x:v>
      </x:c>
      <x:c r="B569" s="101" t="n">
        <x:v>43598</x:v>
      </x:c>
      <x:c r="C569" s="102" t="n">
        <x:v>2019</x:v>
      </x:c>
      <x:c r="D569" s="103" t="str">
        <x:v>ID-221536512931</x:v>
      </x:c>
      <x:c r="E569" s="112" t="str">
        <x:v>웹소설을 쓸 때 한컴 오피스가 좋은 이유!</x:v>
      </x:c>
      <x:c r="F569" s="112" t="str">
        <x:v>웹소생각</x:v>
      </x:c>
      <x:c r="G569" s="112" t="str">
        <x:v>웹소설 직접</x:v>
      </x:c>
      <x:c r="H569" s="112" t="str">
        <x:v>플랫폼·투고·계약</x:v>
      </x:c>
      <x:c r="I569" s="112" t="n">
        <x:v>2</x:v>
      </x:c>
      <x:c r="J569" s="112" t="str">
        <x:v>플랫폼</x:v>
      </x:c>
      <x:c r="K569" s="112" t="str">
        <x:v>본인 작성/의견 추정</x:v>
      </x:c>
      <x:c r="L569" s="112" t="str">
        <x:v>낮음</x:v>
      </x:c>
      <x:c r="M569" s="112" t="str">
        <x:v>재게시 표시는 없으나 저자성 직접 증거 부족</x:v>
      </x:c>
      <x:c r="N569" s="116" t="str"/>
      <x:c r="O569" s="116" t="str">
        <x:v>https://m.blog.naver.com/sntu2010/221536512931</x:v>
      </x:c>
      <x:c r="P569" s="112" t="str">
        <x:v>아니오</x:v>
      </x:c>
      <x:c r="Q569" s="113" t="str">
        <x:v>수동 검토 필요</x:v>
      </x:c>
    </x:row>
    <x:row r="570">
      <x:c r="A570" s="100" t="n">
        <x:v>569</x:v>
      </x:c>
      <x:c r="B570" s="101" t="n">
        <x:v>43598</x:v>
      </x:c>
      <x:c r="C570" s="102" t="n">
        <x:v>2019</x:v>
      </x:c>
      <x:c r="D570" s="103" t="str">
        <x:v>ID-221536462815</x:v>
      </x:c>
      <x:c r="E570" s="112" t="str">
        <x:v>[펌]소설이 뭔지를 알면 플롯을 저절로 짤수 있게 된다. (소설이란 무엇인가)</x:v>
      </x:c>
      <x:c r="F570" s="112" t="str">
        <x:v>웹소작법</x:v>
      </x:c>
      <x:c r="G570" s="112" t="str">
        <x:v>웹소설 직접</x:v>
      </x:c>
      <x:c r="H570" s="112" t="str">
        <x:v>캐릭터·전개</x:v>
      </x:c>
      <x:c r="I570" s="112" t="n">
        <x:v>28</x:v>
      </x:c>
      <x:c r="J570" s="112" t="str">
        <x:v>플롯, 서사, 인물, 사건, 갈등, 관계</x:v>
      </x:c>
      <x:c r="K570" s="112" t="str">
        <x:v>재게시</x:v>
      </x:c>
      <x:c r="L570" s="112" t="str">
        <x:v>높음</x:v>
      </x:c>
      <x:c r="M570" s="112" t="str">
        <x:v>제목의 펌/퍼옴 표시</x:v>
      </x:c>
      <x:c r="N570" s="116" t="str">
        <x:v>https://gall.dcinside.com/mgallery/board/view/?id=tgijjdd&amp;no=146265&amp;page=1</x:v>
      </x:c>
      <x:c r="O570" s="116" t="str">
        <x:v>https://m.blog.naver.com/sntu2010/221536462815</x:v>
      </x:c>
      <x:c r="P570" s="112" t="str">
        <x:v>예</x:v>
      </x:c>
      <x:c r="Q570" s="113" t="str">
        <x:v>자동 분류·표본 검토 대상</x:v>
      </x:c>
    </x:row>
    <x:row r="571">
      <x:c r="A571" s="100" t="n">
        <x:v>570</x:v>
      </x:c>
      <x:c r="B571" s="101" t="n">
        <x:v>43598</x:v>
      </x:c>
      <x:c r="C571" s="102" t="n">
        <x:v>2019</x:v>
      </x:c>
      <x:c r="D571" s="103" t="str">
        <x:v>ID-221536428875</x:v>
      </x:c>
      <x:c r="E571" s="112" t="str">
        <x:v>글 한 편 쓰는데 3시간이 넘게 걸리나요?</x:v>
      </x:c>
      <x:c r="F571" s="112" t="str">
        <x:v>웹소생각</x:v>
      </x:c>
      <x:c r="G571" s="112" t="str">
        <x:v>웹소설 직접</x:v>
      </x:c>
      <x:c r="H571" s="112" t="str">
        <x:v>작법·상업성</x:v>
      </x:c>
      <x:c r="I571" s="112" t="n">
        <x:v>4</x:v>
      </x:c>
      <x:c r="J571" s="112" t="str">
        <x:v>설정, 문장</x:v>
      </x:c>
      <x:c r="K571" s="112" t="str">
        <x:v>본인 작성/의견 추정</x:v>
      </x:c>
      <x:c r="L571" s="112" t="str">
        <x:v>낮음</x:v>
      </x:c>
      <x:c r="M571" s="112" t="str">
        <x:v>재게시 표시는 없으나 저자성 직접 증거 부족</x:v>
      </x:c>
      <x:c r="N571" s="116" t="str"/>
      <x:c r="O571" s="116" t="str">
        <x:v>https://m.blog.naver.com/sntu2010/221536428875</x:v>
      </x:c>
      <x:c r="P571" s="112" t="str">
        <x:v>아니오</x:v>
      </x:c>
      <x:c r="Q571" s="113" t="str">
        <x:v>자동 분류·표본 검토 대상</x:v>
      </x:c>
    </x:row>
    <x:row r="572">
      <x:c r="A572" s="100" t="n">
        <x:v>571</x:v>
      </x:c>
      <x:c r="B572" s="101" t="n">
        <x:v>43598</x:v>
      </x:c>
      <x:c r="C572" s="102" t="n">
        <x:v>2019</x:v>
      </x:c>
      <x:c r="D572" s="103" t="str">
        <x:v>ID-221536341463</x:v>
      </x:c>
      <x:c r="E572" s="112" t="str">
        <x:v>판타지 소설 세계관 짜는 법</x:v>
      </x:c>
      <x:c r="F572" s="112" t="str">
        <x:v>웹소생각</x:v>
      </x:c>
      <x:c r="G572" s="112" t="str">
        <x:v>웹소설 직접</x:v>
      </x:c>
      <x:c r="H572" s="112" t="str">
        <x:v>작법·상업성</x:v>
      </x:c>
      <x:c r="I572" s="112" t="n">
        <x:v>2</x:v>
      </x:c>
      <x:c r="J572" s="112" t="str">
        <x:v>독자, 재미</x:v>
      </x:c>
      <x:c r="K572" s="112" t="str">
        <x:v>본인 작성/의견 추정</x:v>
      </x:c>
      <x:c r="L572" s="112" t="str">
        <x:v>낮음</x:v>
      </x:c>
      <x:c r="M572" s="112" t="str">
        <x:v>재게시 표시는 없으나 저자성 직접 증거 부족</x:v>
      </x:c>
      <x:c r="N572" s="116" t="str"/>
      <x:c r="O572" s="116" t="str">
        <x:v>https://m.blog.naver.com/sntu2010/221536341463</x:v>
      </x:c>
      <x:c r="P572" s="112" t="str">
        <x:v>아니오</x:v>
      </x:c>
      <x:c r="Q572" s="113" t="str">
        <x:v>수동 검토 필요</x:v>
      </x:c>
    </x:row>
    <x:row r="573">
      <x:c r="A573" s="100" t="n">
        <x:v>572</x:v>
      </x:c>
      <x:c r="B573" s="101" t="n">
        <x:v>43597</x:v>
      </x:c>
      <x:c r="C573" s="102" t="n">
        <x:v>2019</x:v>
      </x:c>
      <x:c r="D573" s="103" t="str">
        <x:v>ID-221535978638</x:v>
      </x:c>
      <x:c r="E573" s="112" t="str">
        <x:v>[펌]동료 작가분들께 전투장면 묘사에 관하여 드리는 제언</x:v>
      </x:c>
      <x:c r="F573" s="112" t="str">
        <x:v>웹소작법</x:v>
      </x:c>
      <x:c r="G573" s="112" t="str">
        <x:v>웹소설 직접</x:v>
      </x:c>
      <x:c r="H573" s="112" t="str">
        <x:v>작법·상업성</x:v>
      </x:c>
      <x:c r="I573" s="112" t="n">
        <x:v>28</x:v>
      </x:c>
      <x:c r="J573" s="112" t="str">
        <x:v>묘사, 독자, 작법</x:v>
      </x:c>
      <x:c r="K573" s="112" t="str">
        <x:v>재게시</x:v>
      </x:c>
      <x:c r="L573" s="112" t="str">
        <x:v>높음</x:v>
      </x:c>
      <x:c r="M573" s="112" t="str">
        <x:v>제목의 펌/퍼옴 표시</x:v>
      </x:c>
      <x:c r="N573" s="116" t="str">
        <x:v>https://gall.dcinside.com/mgallery/board/view/?id=tgijjdd&amp;no=146114&amp;exception_mode=recommend&amp;page=1</x:v>
      </x:c>
      <x:c r="O573" s="116" t="str">
        <x:v>https://m.blog.naver.com/sntu2010/221535978638</x:v>
      </x:c>
      <x:c r="P573" s="112" t="str">
        <x:v>예</x:v>
      </x:c>
      <x:c r="Q573" s="113" t="str">
        <x:v>자동 분류·표본 검토 대상</x:v>
      </x:c>
    </x:row>
    <x:row r="574">
      <x:c r="A574" s="100" t="n">
        <x:v>573</x:v>
      </x:c>
      <x:c r="B574" s="101" t="n">
        <x:v>43597</x:v>
      </x:c>
      <x:c r="C574" s="102" t="n">
        <x:v>2019</x:v>
      </x:c>
      <x:c r="D574" s="103" t="str">
        <x:v>ID-221535978463</x:v>
      </x:c>
      <x:c r="E574" s="112" t="str">
        <x:v>[펌]개인적인 전투씬 쓰는 팁</x:v>
      </x:c>
      <x:c r="F574" s="112" t="str">
        <x:v>웹소작법</x:v>
      </x:c>
      <x:c r="G574" s="112" t="str">
        <x:v>웹소설 직접</x:v>
      </x:c>
      <x:c r="H574" s="112" t="str">
        <x:v>작법·상업성</x:v>
      </x:c>
      <x:c r="I574" s="112" t="n">
        <x:v>8</x:v>
      </x:c>
      <x:c r="J574" s="112" t="str">
        <x:v>묘사, 독자, 작법</x:v>
      </x:c>
      <x:c r="K574" s="112" t="str">
        <x:v>재게시</x:v>
      </x:c>
      <x:c r="L574" s="112" t="str">
        <x:v>높음</x:v>
      </x:c>
      <x:c r="M574" s="112" t="str">
        <x:v>제목의 펌/퍼옴 표시</x:v>
      </x:c>
      <x:c r="N574" s="116" t="str">
        <x:v>https://gall.dcinside.com/mgallery/board/view/?id=tgijjdd&amp;no=145629&amp;exception_mode=recommend&amp;page=1</x:v>
      </x:c>
      <x:c r="O574" s="116" t="str">
        <x:v>https://m.blog.naver.com/sntu2010/221535978463</x:v>
      </x:c>
      <x:c r="P574" s="112" t="str">
        <x:v>예</x:v>
      </x:c>
      <x:c r="Q574" s="113" t="str">
        <x:v>자동 분류·표본 검토 대상</x:v>
      </x:c>
    </x:row>
    <x:row r="575">
      <x:c r="A575" s="100" t="n">
        <x:v>574</x:v>
      </x:c>
      <x:c r="B575" s="101" t="n">
        <x:v>43597</x:v>
      </x:c>
      <x:c r="C575" s="102" t="n">
        <x:v>2019</x:v>
      </x:c>
      <x:c r="D575" s="103" t="str">
        <x:v>ID-221535918672</x:v>
      </x:c>
      <x:c r="E575" s="112" t="str">
        <x:v>[펌]유시민의 나쁜 글 고치는 방법</x:v>
      </x:c>
      <x:c r="F575" s="112" t="str">
        <x:v>웹소작법</x:v>
      </x:c>
      <x:c r="G575" s="112" t="str">
        <x:v>웹소설 직접</x:v>
      </x:c>
      <x:c r="H575" s="112" t="str">
        <x:v>작법·상업성</x:v>
      </x:c>
      <x:c r="I575" s="112" t="n">
        <x:v>1</x:v>
      </x:c>
      <x:c r="J575" s="112" t="str">
        <x:v>작법</x:v>
      </x:c>
      <x:c r="K575" s="112" t="str">
        <x:v>재게시</x:v>
      </x:c>
      <x:c r="L575" s="112" t="str">
        <x:v>높음</x:v>
      </x:c>
      <x:c r="M575" s="112" t="str">
        <x:v>제목의 펌/퍼옴 표시</x:v>
      </x:c>
      <x:c r="N575" s="116" t="str"/>
      <x:c r="O575" s="116" t="str">
        <x:v>https://m.blog.naver.com/sntu2010/221535918672</x:v>
      </x:c>
      <x:c r="P575" s="112" t="str">
        <x:v>아니오</x:v>
      </x:c>
      <x:c r="Q575" s="113" t="str">
        <x:v>자동 분류·표본 검토 대상</x:v>
      </x:c>
    </x:row>
    <x:row r="576">
      <x:c r="A576" s="100" t="n">
        <x:v>575</x:v>
      </x:c>
      <x:c r="B576" s="101" t="n">
        <x:v>43593</x:v>
      </x:c>
      <x:c r="C576" s="102" t="n">
        <x:v>2019</x:v>
      </x:c>
      <x:c r="D576" s="103" t="str">
        <x:v>ID-221532572636</x:v>
      </x:c>
      <x:c r="E576" s="112" t="str">
        <x:v>[펌]카카오페이지 팁</x:v>
      </x:c>
      <x:c r="F576" s="112" t="str">
        <x:v>웹소작법</x:v>
      </x:c>
      <x:c r="G576" s="112" t="str">
        <x:v>웹소설 직접</x:v>
      </x:c>
      <x:c r="H576" s="112" t="str">
        <x:v>플랫폼·투고·계약</x:v>
      </x:c>
      <x:c r="I576" s="112" t="n">
        <x:v>28</x:v>
      </x:c>
      <x:c r="J576" s="112" t="str">
        <x:v>카카오, 문피아, 플랫폼</x:v>
      </x:c>
      <x:c r="K576" s="112" t="str">
        <x:v>재게시</x:v>
      </x:c>
      <x:c r="L576" s="112" t="str">
        <x:v>높음</x:v>
      </x:c>
      <x:c r="M576" s="112" t="str">
        <x:v>제목의 펌/퍼옴 표시</x:v>
      </x:c>
      <x:c r="N576" s="116" t="str">
        <x:v>https://gall.dcinside.com/mgallery/board/view/?id=tgijjdd&amp;no=144198&amp;exception_mode=recommend&amp;page=1</x:v>
      </x:c>
      <x:c r="O576" s="116" t="str">
        <x:v>https://m.blog.naver.com/sntu2010/221532572636</x:v>
      </x:c>
      <x:c r="P576" s="112" t="str">
        <x:v>예</x:v>
      </x:c>
      <x:c r="Q576" s="113" t="str">
        <x:v>자동 분류·표본 검토 대상</x:v>
      </x:c>
    </x:row>
    <x:row r="577">
      <x:c r="A577" s="100" t="n">
        <x:v>576</x:v>
      </x:c>
      <x:c r="B577" s="101" t="n">
        <x:v>43592</x:v>
      </x:c>
      <x:c r="C577" s="102" t="n">
        <x:v>2019</x:v>
      </x:c>
      <x:c r="D577" s="103" t="str">
        <x:v>ID-221532122226</x:v>
      </x:c>
      <x:c r="E577" s="112" t="str">
        <x:v>[펌]조아라 노블레스 TIP 총 정리</x:v>
      </x:c>
      <x:c r="F577" s="112" t="str">
        <x:v>웹소작법</x:v>
      </x:c>
      <x:c r="G577" s="112" t="str">
        <x:v>웹소설 직접</x:v>
      </x:c>
      <x:c r="H577" s="112" t="str">
        <x:v>플랫폼·투고·계약</x:v>
      </x:c>
      <x:c r="I577" s="112" t="n">
        <x:v>23</x:v>
      </x:c>
      <x:c r="J577" s="112" t="str">
        <x:v>조아라, 계약</x:v>
      </x:c>
      <x:c r="K577" s="112" t="str">
        <x:v>재게시</x:v>
      </x:c>
      <x:c r="L577" s="112" t="str">
        <x:v>높음</x:v>
      </x:c>
      <x:c r="M577" s="112" t="str">
        <x:v>제목의 펌/퍼옴 표시</x:v>
      </x:c>
      <x:c r="N577" s="116" t="str">
        <x:v>https://gall.dcinside.com/mgallery/board/view/?id=tgijjdd&amp;no=143910&amp;exception_mode=recommend&amp;page=1</x:v>
      </x:c>
      <x:c r="O577" s="116" t="str">
        <x:v>https://m.blog.naver.com/sntu2010/221532122226</x:v>
      </x:c>
      <x:c r="P577" s="112" t="str">
        <x:v>예</x:v>
      </x:c>
      <x:c r="Q577" s="113" t="str">
        <x:v>자동 분류·표본 검토 대상</x:v>
      </x:c>
    </x:row>
    <x:row r="578">
      <x:c r="A578" s="100" t="n">
        <x:v>577</x:v>
      </x:c>
      <x:c r="B578" s="101" t="n">
        <x:v>43592</x:v>
      </x:c>
      <x:c r="C578" s="102" t="n">
        <x:v>2019</x:v>
      </x:c>
      <x:c r="D578" s="103" t="str">
        <x:v>ID-221531659057</x:v>
      </x:c>
      <x:c r="E578" s="112" t="str">
        <x:v>[펌]홍정훈 작가가 써보는 장르소설의 작법</x:v>
      </x:c>
      <x:c r="F578" s="112" t="str">
        <x:v>웹소작법</x:v>
      </x:c>
      <x:c r="G578" s="112" t="str">
        <x:v>웹소설 직접</x:v>
      </x:c>
      <x:c r="H578" s="112" t="str">
        <x:v>작법·상업성</x:v>
      </x:c>
      <x:c r="I578" s="112" t="n">
        <x:v>48</x:v>
      </x:c>
      <x:c r="J578" s="112" t="str">
        <x:v>장르, 작법, 문장</x:v>
      </x:c>
      <x:c r="K578" s="112" t="str">
        <x:v>재게시</x:v>
      </x:c>
      <x:c r="L578" s="112" t="str">
        <x:v>높음</x:v>
      </x:c>
      <x:c r="M578" s="112" t="str">
        <x:v>제목의 펌/퍼옴 표시</x:v>
      </x:c>
      <x:c r="N578" s="116" t="str">
        <x:v>https://gall.dcinside.com/mgallery/board/view/?id=tgijjdd&amp;no=143856&amp;page=1</x:v>
      </x:c>
      <x:c r="O578" s="116" t="str">
        <x:v>https://m.blog.naver.com/sntu2010/221531659057</x:v>
      </x:c>
      <x:c r="P578" s="112" t="str">
        <x:v>예</x:v>
      </x:c>
      <x:c r="Q578" s="113" t="str">
        <x:v>자동 분류·표본 검토 대상</x:v>
      </x:c>
    </x:row>
    <x:row r="579">
      <x:c r="A579" s="100" t="n">
        <x:v>578</x:v>
      </x:c>
      <x:c r="B579" s="101" t="n">
        <x:v>43591</x:v>
      </x:c>
      <x:c r="C579" s="102" t="n">
        <x:v>2019</x:v>
      </x:c>
      <x:c r="D579" s="103" t="str">
        <x:v>ID-221531238974</x:v>
      </x:c>
      <x:c r="E579" s="112" t="str">
        <x:v>[펌]전투씬에 관해서(목마 작가)</x:v>
      </x:c>
      <x:c r="F579" s="112" t="str">
        <x:v>웹소작법</x:v>
      </x:c>
      <x:c r="G579" s="112" t="str">
        <x:v>웹소설 직접</x:v>
      </x:c>
      <x:c r="H579" s="112" t="str">
        <x:v>캐릭터·전개</x:v>
      </x:c>
      <x:c r="I579" s="112" t="n">
        <x:v>8</x:v>
      </x:c>
      <x:c r="J579" s="112" t="str">
        <x:v>주인공, 시점, 악역, 대사</x:v>
      </x:c>
      <x:c r="K579" s="112" t="str">
        <x:v>재게시</x:v>
      </x:c>
      <x:c r="L579" s="112" t="str">
        <x:v>높음</x:v>
      </x:c>
      <x:c r="M579" s="112" t="str">
        <x:v>제목의 펌/퍼옴 표시</x:v>
      </x:c>
      <x:c r="N579" s="116" t="str">
        <x:v>https://gall.dcinside.com/mgallery/board/view/?id=tgijjdd&amp;no=143700&amp;page=1</x:v>
      </x:c>
      <x:c r="O579" s="116" t="str">
        <x:v>https://m.blog.naver.com/sntu2010/221531238974</x:v>
      </x:c>
      <x:c r="P579" s="112" t="str">
        <x:v>예</x:v>
      </x:c>
      <x:c r="Q579" s="113" t="str">
        <x:v>자동 분류·표본 검토 대상</x:v>
      </x:c>
    </x:row>
    <x:row r="580">
      <x:c r="A580" s="100" t="n">
        <x:v>579</x:v>
      </x:c>
      <x:c r="B580" s="101" t="n">
        <x:v>43591</x:v>
      </x:c>
      <x:c r="C580" s="102" t="n">
        <x:v>2019</x:v>
      </x:c>
      <x:c r="D580" s="103" t="str">
        <x:v>ID-221531018813</x:v>
      </x:c>
      <x:c r="E580" s="112" t="str">
        <x:v>[펌]원패턴의 중요성(디다트 작가 분석)</x:v>
      </x:c>
      <x:c r="F580" s="112" t="str">
        <x:v>웹소작법</x:v>
      </x:c>
      <x:c r="G580" s="112" t="str">
        <x:v>웹소설 직접</x:v>
      </x:c>
      <x:c r="H580" s="112" t="str">
        <x:v>캐릭터·전개</x:v>
      </x:c>
      <x:c r="I580" s="112" t="n">
        <x:v>8</x:v>
      </x:c>
      <x:c r="J580" s="112" t="str">
        <x:v>플롯, 주인공, 전개, 에피소드</x:v>
      </x:c>
      <x:c r="K580" s="112" t="str">
        <x:v>재게시</x:v>
      </x:c>
      <x:c r="L580" s="112" t="str">
        <x:v>높음</x:v>
      </x:c>
      <x:c r="M580" s="112" t="str">
        <x:v>제목의 펌/퍼옴 표시</x:v>
      </x:c>
      <x:c r="N580" s="116" t="str">
        <x:v>https://gall.dcinside.com/mgallery/board/view/?id=tgijjdd&amp;no=143064&amp;exception_mode=recommend&amp;page=1</x:v>
      </x:c>
      <x:c r="O580" s="116" t="str">
        <x:v>https://m.blog.naver.com/sntu2010/221531018813</x:v>
      </x:c>
      <x:c r="P580" s="112" t="str">
        <x:v>예</x:v>
      </x:c>
      <x:c r="Q580" s="113" t="str">
        <x:v>자동 분류·표본 검토 대상</x:v>
      </x:c>
    </x:row>
    <x:row r="581">
      <x:c r="A581" s="100" t="n">
        <x:v>580</x:v>
      </x:c>
      <x:c r="B581" s="101" t="n">
        <x:v>43588</x:v>
      </x:c>
      <x:c r="C581" s="102" t="n">
        <x:v>2019</x:v>
      </x:c>
      <x:c r="D581" s="103" t="str">
        <x:v>ID-221528502489</x:v>
      </x:c>
      <x:c r="E581" s="112" t="str">
        <x:v>[펌]'재벌집 막내아들' 산경 작가 강의 솔직 후기</x:v>
      </x:c>
      <x:c r="F581" s="112" t="str">
        <x:v>웹소작법</x:v>
      </x:c>
      <x:c r="G581" s="112" t="str">
        <x:v>웹소설 직접</x:v>
      </x:c>
      <x:c r="H581" s="112" t="str">
        <x:v>초반부/연독률</x:v>
      </x:c>
      <x:c r="I581" s="112" t="n">
        <x:v>1</x:v>
      </x:c>
      <x:c r="J581" s="112" t="str">
        <x:v>초반</x:v>
      </x:c>
      <x:c r="K581" s="112" t="str">
        <x:v>재게시</x:v>
      </x:c>
      <x:c r="L581" s="112" t="str">
        <x:v>높음</x:v>
      </x:c>
      <x:c r="M581" s="112" t="str">
        <x:v>제목의 펌/퍼옴 표시</x:v>
      </x:c>
      <x:c r="N581" s="116" t="str">
        <x:v>https://gall.dcinside.com/mgallery/board/view/?id=tgijjdd&amp;no=141817&amp;exception_mode=recommend&amp;page=1</x:v>
      </x:c>
      <x:c r="O581" s="116" t="str">
        <x:v>https://m.blog.naver.com/sntu2010/221528502489</x:v>
      </x:c>
      <x:c r="P581" s="112" t="str">
        <x:v>아니오</x:v>
      </x:c>
      <x:c r="Q581" s="113" t="str">
        <x:v>자동 분류·표본 검토 대상</x:v>
      </x:c>
    </x:row>
    <x:row r="582">
      <x:c r="A582" s="100" t="n">
        <x:v>581</x:v>
      </x:c>
      <x:c r="B582" s="101" t="n">
        <x:v>43588</x:v>
      </x:c>
      <x:c r="C582" s="102" t="n">
        <x:v>2019</x:v>
      </x:c>
      <x:c r="D582" s="103" t="str">
        <x:v>ID-221528498595</x:v>
      </x:c>
      <x:c r="E582" s="112" t="str">
        <x:v>[펌]좋은 빌런 만드는 방법</x:v>
      </x:c>
      <x:c r="F582" s="112" t="str">
        <x:v>웹소작법</x:v>
      </x:c>
      <x:c r="G582" s="112" t="str">
        <x:v>웹소설 직접</x:v>
      </x:c>
      <x:c r="H582" s="112" t="str">
        <x:v>캐릭터·전개</x:v>
      </x:c>
      <x:c r="I582" s="112" t="n">
        <x:v>28</x:v>
      </x:c>
      <x:c r="J582" s="112" t="str">
        <x:v>빌런, 주인공, 캐릭터</x:v>
      </x:c>
      <x:c r="K582" s="112" t="str">
        <x:v>재게시</x:v>
      </x:c>
      <x:c r="L582" s="112" t="str">
        <x:v>높음</x:v>
      </x:c>
      <x:c r="M582" s="112" t="str">
        <x:v>제목의 펌/퍼옴 표시</x:v>
      </x:c>
      <x:c r="N582" s="116" t="str">
        <x:v>https://gall.dcinside.com/mgallery/board/view/?id=tgijjdd&amp;no=141784&amp;exception_mode=recommend&amp;page=1</x:v>
      </x:c>
      <x:c r="O582" s="116" t="str">
        <x:v>https://m.blog.naver.com/sntu2010/221528498595</x:v>
      </x:c>
      <x:c r="P582" s="112" t="str">
        <x:v>예</x:v>
      </x:c>
      <x:c r="Q582" s="113" t="str">
        <x:v>자동 분류·표본 검토 대상</x:v>
      </x:c>
    </x:row>
    <x:row r="583">
      <x:c r="A583" s="100" t="n">
        <x:v>582</x:v>
      </x:c>
      <x:c r="B583" s="101" t="n">
        <x:v>43586</x:v>
      </x:c>
      <x:c r="C583" s="102" t="n">
        <x:v>2019</x:v>
      </x:c>
      <x:c r="D583" s="103" t="str">
        <x:v>ID-221527518342</x:v>
      </x:c>
      <x:c r="E583" s="112" t="str">
        <x:v>[펌]잔디 브러쉬 만들기</x:v>
      </x:c>
      <x:c r="F583" s="112" t="str">
        <x:v>웹툰작법</x:v>
      </x:c>
      <x:c r="G583" s="112" t="str">
        <x:v>웹툰 참고</x:v>
      </x:c>
      <x:c r="H583" s="112" t="str">
        <x:v>작법·상업성</x:v>
      </x:c>
      <x:c r="I583" s="112" t="n">
        <x:v>1</x:v>
      </x:c>
      <x:c r="J583" s="112" t="str">
        <x:v>작법</x:v>
      </x:c>
      <x:c r="K583" s="112" t="str">
        <x:v>재게시</x:v>
      </x:c>
      <x:c r="L583" s="112" t="str">
        <x:v>높음</x:v>
      </x:c>
      <x:c r="M583" s="112" t="str">
        <x:v>제목의 펌/퍼옴 표시</x:v>
      </x:c>
      <x:c r="N583" s="116" t="str">
        <x:v>http://www.mclelun.com/2016/11/creating-custom-photoshop-leaves-and.html</x:v>
      </x:c>
      <x:c r="O583" s="116" t="str">
        <x:v>https://m.blog.naver.com/sntu2010/221527518342</x:v>
      </x:c>
      <x:c r="P583" s="112" t="str">
        <x:v>아니오</x:v>
      </x:c>
      <x:c r="Q583" s="113" t="str">
        <x:v>자동 분류·표본 검토 대상</x:v>
      </x:c>
    </x:row>
    <x:row r="584">
      <x:c r="A584" s="100" t="n">
        <x:v>583</x:v>
      </x:c>
      <x:c r="B584" s="101" t="n">
        <x:v>43586</x:v>
      </x:c>
      <x:c r="C584" s="102" t="n">
        <x:v>2019</x:v>
      </x:c>
      <x:c r="D584" s="103" t="str">
        <x:v>ID-221527517443</x:v>
      </x:c>
      <x:c r="E584" s="112" t="str">
        <x:v>[펌]물결 반사 브러쉬 다운로드</x:v>
      </x:c>
      <x:c r="F584" s="112" t="str">
        <x:v>웹툰작법</x:v>
      </x:c>
      <x:c r="G584" s="112" t="str">
        <x:v>웹툰 참고</x:v>
      </x:c>
      <x:c r="H584" s="112" t="str">
        <x:v>작법·상업성</x:v>
      </x:c>
      <x:c r="I584" s="112" t="n">
        <x:v>1</x:v>
      </x:c>
      <x:c r="J584" s="112" t="str">
        <x:v>작법</x:v>
      </x:c>
      <x:c r="K584" s="112" t="str">
        <x:v>재게시</x:v>
      </x:c>
      <x:c r="L584" s="112" t="str">
        <x:v>높음</x:v>
      </x:c>
      <x:c r="M584" s="112" t="str">
        <x:v>제목의 펌/퍼옴 표시</x:v>
      </x:c>
      <x:c r="N584" s="116" t="str">
        <x:v>https://www.deviantart.com/pixelstains/art/3-Photoshop-Brushes-for-Painting-Water-Reflections-519083427</x:v>
      </x:c>
      <x:c r="O584" s="116" t="str">
        <x:v>https://m.blog.naver.com/sntu2010/221527517443</x:v>
      </x:c>
      <x:c r="P584" s="112" t="str">
        <x:v>아니오</x:v>
      </x:c>
      <x:c r="Q584" s="113" t="str">
        <x:v>자동 분류·표본 검토 대상</x:v>
      </x:c>
    </x:row>
    <x:row r="585">
      <x:c r="A585" s="100" t="n">
        <x:v>584</x:v>
      </x:c>
      <x:c r="B585" s="101" t="n">
        <x:v>43586</x:v>
      </x:c>
      <x:c r="C585" s="102" t="n">
        <x:v>2019</x:v>
      </x:c>
      <x:c r="D585" s="103" t="str">
        <x:v>ID-221527517046</x:v>
      </x:c>
      <x:c r="E585" s="112" t="str">
        <x:v>[펌]질감 브러쉬 다운로드</x:v>
      </x:c>
      <x:c r="F585" s="112" t="str">
        <x:v>웹툰작법</x:v>
      </x:c>
      <x:c r="G585" s="112" t="str">
        <x:v>웹툰 참고</x:v>
      </x:c>
      <x:c r="H585" s="112" t="str">
        <x:v>작법·상업성</x:v>
      </x:c>
      <x:c r="I585" s="112" t="n">
        <x:v>1</x:v>
      </x:c>
      <x:c r="J585" s="112" t="str">
        <x:v>작법</x:v>
      </x:c>
      <x:c r="K585" s="112" t="str">
        <x:v>재게시</x:v>
      </x:c>
      <x:c r="L585" s="112" t="str">
        <x:v>높음</x:v>
      </x:c>
      <x:c r="M585" s="112" t="str">
        <x:v>제목의 펌/퍼옴 표시</x:v>
      </x:c>
      <x:c r="N585" s="116" t="str">
        <x:v>https://www.deviantart.com/pixelstains/art/3-Stone-Texture-Brushes-for-Painting-517504886</x:v>
      </x:c>
      <x:c r="O585" s="116" t="str">
        <x:v>https://m.blog.naver.com/sntu2010/221527517046</x:v>
      </x:c>
      <x:c r="P585" s="112" t="str">
        <x:v>아니오</x:v>
      </x:c>
      <x:c r="Q585" s="113" t="str">
        <x:v>자동 분류·표본 검토 대상</x:v>
      </x:c>
    </x:row>
    <x:row r="586">
      <x:c r="A586" s="100" t="n">
        <x:v>585</x:v>
      </x:c>
      <x:c r="B586" s="101" t="n">
        <x:v>43586</x:v>
      </x:c>
      <x:c r="C586" s="102" t="n">
        <x:v>2019</x:v>
      </x:c>
      <x:c r="D586" s="103" t="str">
        <x:v>ID-221527516401</x:v>
      </x:c>
      <x:c r="E586" s="112" t="str">
        <x:v>[펌]잔디 브러쉬 다운로드</x:v>
      </x:c>
      <x:c r="F586" s="112" t="str">
        <x:v>웹툰작법</x:v>
      </x:c>
      <x:c r="G586" s="112" t="str">
        <x:v>웹툰 참고</x:v>
      </x:c>
      <x:c r="H586" s="112" t="str">
        <x:v>작법·상업성</x:v>
      </x:c>
      <x:c r="I586" s="112" t="n">
        <x:v>1</x:v>
      </x:c>
      <x:c r="J586" s="112" t="str">
        <x:v>작법</x:v>
      </x:c>
      <x:c r="K586" s="112" t="str">
        <x:v>재게시</x:v>
      </x:c>
      <x:c r="L586" s="112" t="str">
        <x:v>높음</x:v>
      </x:c>
      <x:c r="M586" s="112" t="str">
        <x:v>제목의 펌/퍼옴 표시</x:v>
      </x:c>
      <x:c r="N586" s="116" t="str">
        <x:v>https://www.deviantart.com/xong/art/anime-type-Tree-leaves-brush-XD-531415365</x:v>
      </x:c>
      <x:c r="O586" s="116" t="str">
        <x:v>https://m.blog.naver.com/sntu2010/221527516401</x:v>
      </x:c>
      <x:c r="P586" s="112" t="str">
        <x:v>아니오</x:v>
      </x:c>
      <x:c r="Q586" s="113" t="str">
        <x:v>자동 분류·표본 검토 대상</x:v>
      </x:c>
    </x:row>
    <x:row r="587">
      <x:c r="A587" s="100" t="n">
        <x:v>586</x:v>
      </x:c>
      <x:c r="B587" s="101" t="n">
        <x:v>43586</x:v>
      </x:c>
      <x:c r="C587" s="102" t="n">
        <x:v>2019</x:v>
      </x:c>
      <x:c r="D587" s="103" t="str">
        <x:v>ID-221527515892</x:v>
      </x:c>
      <x:c r="E587" s="112" t="str">
        <x:v>[펌]물결 브러쉬 만들기</x:v>
      </x:c>
      <x:c r="F587" s="112" t="str">
        <x:v>웹툰작법</x:v>
      </x:c>
      <x:c r="G587" s="112" t="str">
        <x:v>웹툰 참고</x:v>
      </x:c>
      <x:c r="H587" s="112" t="str">
        <x:v>작법·상업성</x:v>
      </x:c>
      <x:c r="I587" s="112" t="n">
        <x:v>1</x:v>
      </x:c>
      <x:c r="J587" s="112" t="str">
        <x:v>작법</x:v>
      </x:c>
      <x:c r="K587" s="112" t="str">
        <x:v>재게시</x:v>
      </x:c>
      <x:c r="L587" s="112" t="str">
        <x:v>높음</x:v>
      </x:c>
      <x:c r="M587" s="112" t="str">
        <x:v>제목의 펌/퍼옴 표시</x:v>
      </x:c>
      <x:c r="N587" s="116" t="str">
        <x:v>http://www.mclelun.com/2017/02/creating-photoshop-water-wave-brush.html</x:v>
      </x:c>
      <x:c r="O587" s="116" t="str">
        <x:v>https://m.blog.naver.com/sntu2010/221527515892</x:v>
      </x:c>
      <x:c r="P587" s="112" t="str">
        <x:v>아니오</x:v>
      </x:c>
      <x:c r="Q587" s="113" t="str">
        <x:v>자동 분류·표본 검토 대상</x:v>
      </x:c>
    </x:row>
    <x:row r="588">
      <x:c r="A588" s="100" t="n">
        <x:v>587</x:v>
      </x:c>
      <x:c r="B588" s="101" t="n">
        <x:v>43586</x:v>
      </x:c>
      <x:c r="C588" s="102" t="n">
        <x:v>2019</x:v>
      </x:c>
      <x:c r="D588" s="103" t="str">
        <x:v>ID-221527515281</x:v>
      </x:c>
      <x:c r="E588" s="112" t="str">
        <x:v>[펌]구름 브러쉬 만들기</x:v>
      </x:c>
      <x:c r="F588" s="112" t="str">
        <x:v>웹툰작법</x:v>
      </x:c>
      <x:c r="G588" s="112" t="str">
        <x:v>웹툰 참고</x:v>
      </x:c>
      <x:c r="H588" s="112" t="str">
        <x:v>작법·상업성</x:v>
      </x:c>
      <x:c r="I588" s="112" t="n">
        <x:v>1</x:v>
      </x:c>
      <x:c r="J588" s="112" t="str">
        <x:v>작법</x:v>
      </x:c>
      <x:c r="K588" s="112" t="str">
        <x:v>재게시</x:v>
      </x:c>
      <x:c r="L588" s="112" t="str">
        <x:v>높음</x:v>
      </x:c>
      <x:c r="M588" s="112" t="str">
        <x:v>제목의 펌/퍼옴 표시</x:v>
      </x:c>
      <x:c r="N588" s="116" t="str">
        <x:v>http://www.mclelun.com/2017/10/creating-photoshop-cloud-brush.html</x:v>
      </x:c>
      <x:c r="O588" s="116" t="str">
        <x:v>https://m.blog.naver.com/sntu2010/221527515281</x:v>
      </x:c>
      <x:c r="P588" s="112" t="str">
        <x:v>아니오</x:v>
      </x:c>
      <x:c r="Q588" s="113" t="str">
        <x:v>자동 분류·표본 검토 대상</x:v>
      </x:c>
    </x:row>
    <x:row r="589">
      <x:c r="A589" s="100" t="n">
        <x:v>588</x:v>
      </x:c>
      <x:c r="B589" s="101" t="n">
        <x:v>43586</x:v>
      </x:c>
      <x:c r="C589" s="102" t="n">
        <x:v>2019</x:v>
      </x:c>
      <x:c r="D589" s="103" t="str">
        <x:v>ID-221527514712</x:v>
      </x:c>
      <x:c r="E589" s="112" t="str">
        <x:v>[펌]배경에 그림자를 넣어보자</x:v>
      </x:c>
      <x:c r="F589" s="112" t="str">
        <x:v>웹툰작법</x:v>
      </x:c>
      <x:c r="G589" s="112" t="str">
        <x:v>웹툰 참고</x:v>
      </x:c>
      <x:c r="H589" s="112" t="str">
        <x:v>작법·상업성</x:v>
      </x:c>
      <x:c r="I589" s="112" t="n">
        <x:v>1</x:v>
      </x:c>
      <x:c r="J589" s="112" t="str">
        <x:v>작법</x:v>
      </x:c>
      <x:c r="K589" s="112" t="str">
        <x:v>재게시</x:v>
      </x:c>
      <x:c r="L589" s="112" t="str">
        <x:v>높음</x:v>
      </x:c>
      <x:c r="M589" s="112" t="str">
        <x:v>제목의 펌/퍼옴 표시</x:v>
      </x:c>
      <x:c r="N589" s="116" t="str">
        <x:v>https://www.mclelun.com/2017/03/adding-shadow-to-your-anime-background.html</x:v>
      </x:c>
      <x:c r="O589" s="116" t="str">
        <x:v>https://m.blog.naver.com/sntu2010/221527514712</x:v>
      </x:c>
      <x:c r="P589" s="112" t="str">
        <x:v>아니오</x:v>
      </x:c>
      <x:c r="Q589" s="113" t="str">
        <x:v>자동 분류·표본 검토 대상</x:v>
      </x:c>
    </x:row>
    <x:row r="590">
      <x:c r="A590" s="100" t="n">
        <x:v>589</x:v>
      </x:c>
      <x:c r="B590" s="101" t="n">
        <x:v>43586</x:v>
      </x:c>
      <x:c r="C590" s="102" t="n">
        <x:v>2019</x:v>
      </x:c>
      <x:c r="D590" s="103" t="str">
        <x:v>ID-221527514389</x:v>
      </x:c>
      <x:c r="E590" s="112" t="str">
        <x:v>[펌]그림자 색상을 알아보자</x:v>
      </x:c>
      <x:c r="F590" s="112" t="str">
        <x:v>웹툰작법</x:v>
      </x:c>
      <x:c r="G590" s="112" t="str">
        <x:v>웹툰 참고</x:v>
      </x:c>
      <x:c r="H590" s="112" t="str">
        <x:v>작법·상업성</x:v>
      </x:c>
      <x:c r="I590" s="112" t="n">
        <x:v>1</x:v>
      </x:c>
      <x:c r="J590" s="112" t="str">
        <x:v>작법</x:v>
      </x:c>
      <x:c r="K590" s="112" t="str">
        <x:v>재게시</x:v>
      </x:c>
      <x:c r="L590" s="112" t="str">
        <x:v>높음</x:v>
      </x:c>
      <x:c r="M590" s="112" t="str">
        <x:v>제목의 펌/퍼옴 표시</x:v>
      </x:c>
      <x:c r="N590" s="116" t="str">
        <x:v>https://www.mclelun.com/2015/10/what-is-shadow-color.html</x:v>
      </x:c>
      <x:c r="O590" s="116" t="str">
        <x:v>https://m.blog.naver.com/sntu2010/221527514389</x:v>
      </x:c>
      <x:c r="P590" s="112" t="str">
        <x:v>아니오</x:v>
      </x:c>
      <x:c r="Q590" s="113" t="str">
        <x:v>자동 분류·표본 검토 대상</x:v>
      </x:c>
    </x:row>
    <x:row r="591">
      <x:c r="A591" s="100" t="n">
        <x:v>590</x:v>
      </x:c>
      <x:c r="B591" s="101" t="n">
        <x:v>43586</x:v>
      </x:c>
      <x:c r="C591" s="102" t="n">
        <x:v>2019</x:v>
      </x:c>
      <x:c r="D591" s="103" t="str">
        <x:v>ID-221527513669</x:v>
      </x:c>
      <x:c r="E591" s="112" t="str">
        <x:v>[펌]색상 조절을 통해 배경 스타일 개선하기</x:v>
      </x:c>
      <x:c r="F591" s="112" t="str">
        <x:v>웹툰작법</x:v>
      </x:c>
      <x:c r="G591" s="112" t="str">
        <x:v>웹툰 참고</x:v>
      </x:c>
      <x:c r="H591" s="112" t="str">
        <x:v>작법·상업성</x:v>
      </x:c>
      <x:c r="I591" s="112" t="n">
        <x:v>1</x:v>
      </x:c>
      <x:c r="J591" s="112" t="str">
        <x:v>작법</x:v>
      </x:c>
      <x:c r="K591" s="112" t="str">
        <x:v>재게시</x:v>
      </x:c>
      <x:c r="L591" s="112" t="str">
        <x:v>높음</x:v>
      </x:c>
      <x:c r="M591" s="112" t="str">
        <x:v>제목의 펌/퍼옴 표시</x:v>
      </x:c>
      <x:c r="N591" s="116" t="str">
        <x:v>https://www.mclelun.com/2019/04/colour-grading-using-curves-and-levels.html</x:v>
      </x:c>
      <x:c r="O591" s="116" t="str">
        <x:v>https://m.blog.naver.com/sntu2010/221527513669</x:v>
      </x:c>
      <x:c r="P591" s="112" t="str">
        <x:v>아니오</x:v>
      </x:c>
      <x:c r="Q591" s="113" t="str">
        <x:v>자동 분류·표본 검토 대상</x:v>
      </x:c>
    </x:row>
    <x:row r="592">
      <x:c r="A592" s="100" t="n">
        <x:v>591</x:v>
      </x:c>
      <x:c r="B592" s="101" t="n">
        <x:v>43586</x:v>
      </x:c>
      <x:c r="C592" s="102" t="n">
        <x:v>2019</x:v>
      </x:c>
      <x:c r="D592" s="103" t="str">
        <x:v>ID-221527512882</x:v>
      </x:c>
      <x:c r="E592" s="112" t="str">
        <x:v>[펌]3D 모델링 위에 애니메이션 배경 그리기</x:v>
      </x:c>
      <x:c r="F592" s="112" t="str">
        <x:v>웹툰작법</x:v>
      </x:c>
      <x:c r="G592" s="112" t="str">
        <x:v>웹툰 참고</x:v>
      </x:c>
      <x:c r="H592" s="112" t="str">
        <x:v>작법·상업성</x:v>
      </x:c>
      <x:c r="I592" s="112" t="n">
        <x:v>1</x:v>
      </x:c>
      <x:c r="J592" s="112" t="str">
        <x:v>작법</x:v>
      </x:c>
      <x:c r="K592" s="112" t="str">
        <x:v>재게시</x:v>
      </x:c>
      <x:c r="L592" s="112" t="str">
        <x:v>높음</x:v>
      </x:c>
      <x:c r="M592" s="112" t="str">
        <x:v>제목의 펌/퍼옴 표시</x:v>
      </x:c>
      <x:c r="N592" s="116" t="str">
        <x:v>https://www.mclelun.com/2015/10/paint-over-3d-render.html</x:v>
      </x:c>
      <x:c r="O592" s="116" t="str">
        <x:v>https://m.blog.naver.com/sntu2010/221527512882</x:v>
      </x:c>
      <x:c r="P592" s="112" t="str">
        <x:v>아니오</x:v>
      </x:c>
      <x:c r="Q592" s="113" t="str">
        <x:v>자동 분류·표본 검토 대상</x:v>
      </x:c>
    </x:row>
    <x:row r="593">
      <x:c r="A593" s="100" t="n">
        <x:v>592</x:v>
      </x:c>
      <x:c r="B593" s="101" t="n">
        <x:v>43586</x:v>
      </x:c>
      <x:c r="C593" s="102" t="n">
        <x:v>2019</x:v>
      </x:c>
      <x:c r="D593" s="103" t="str">
        <x:v>ID-221527512292</x:v>
      </x:c>
      <x:c r="E593" s="112" t="str">
        <x:v>[펌]사진을 이용해 애니메이션 배경 그리기</x:v>
      </x:c>
      <x:c r="F593" s="112" t="str">
        <x:v>웹툰작법</x:v>
      </x:c>
      <x:c r="G593" s="112" t="str">
        <x:v>웹툰 참고</x:v>
      </x:c>
      <x:c r="H593" s="112" t="str">
        <x:v>작법·상업성</x:v>
      </x:c>
      <x:c r="I593" s="112" t="n">
        <x:v>1</x:v>
      </x:c>
      <x:c r="J593" s="112" t="str">
        <x:v>작법</x:v>
      </x:c>
      <x:c r="K593" s="112" t="str">
        <x:v>재게시</x:v>
      </x:c>
      <x:c r="L593" s="112" t="str">
        <x:v>높음</x:v>
      </x:c>
      <x:c r="M593" s="112" t="str">
        <x:v>제목의 펌/퍼옴 표시</x:v>
      </x:c>
      <x:c r="N593" s="116" t="str">
        <x:v>https://www.mclelun.com/2015/11/anime-background-paint-over-photo.html</x:v>
      </x:c>
      <x:c r="O593" s="116" t="str">
        <x:v>https://m.blog.naver.com/sntu2010/221527512292</x:v>
      </x:c>
      <x:c r="P593" s="112" t="str">
        <x:v>아니오</x:v>
      </x:c>
      <x:c r="Q593" s="113" t="str">
        <x:v>자동 분류·표본 검토 대상</x:v>
      </x:c>
    </x:row>
    <x:row r="594">
      <x:c r="A594" s="100" t="n">
        <x:v>593</x:v>
      </x:c>
      <x:c r="B594" s="101" t="n">
        <x:v>43586</x:v>
      </x:c>
      <x:c r="C594" s="102" t="n">
        <x:v>2019</x:v>
      </x:c>
      <x:c r="D594" s="103" t="str">
        <x:v>ID-221527222084</x:v>
      </x:c>
      <x:c r="E594" s="112" t="str">
        <x:v>[펌]다양한 스타일 나무 그리는 방법</x:v>
      </x:c>
      <x:c r="F594" s="112" t="str">
        <x:v>웹툰작법</x:v>
      </x:c>
      <x:c r="G594" s="112" t="str">
        <x:v>웹툰 참고</x:v>
      </x:c>
      <x:c r="H594" s="112" t="str">
        <x:v>작법·상업성</x:v>
      </x:c>
      <x:c r="I594" s="112" t="n">
        <x:v>1</x:v>
      </x:c>
      <x:c r="J594" s="112" t="str">
        <x:v>작법</x:v>
      </x:c>
      <x:c r="K594" s="112" t="str">
        <x:v>재게시</x:v>
      </x:c>
      <x:c r="L594" s="112" t="str">
        <x:v>높음</x:v>
      </x:c>
      <x:c r="M594" s="112" t="str">
        <x:v>제목의 펌/퍼옴 표시</x:v>
      </x:c>
      <x:c r="N594" s="116" t="str">
        <x:v>https://www.mclelun.com/2018/03/tree-trunk-tutorial.html</x:v>
      </x:c>
      <x:c r="O594" s="116" t="str">
        <x:v>https://m.blog.naver.com/sntu2010/221527222084</x:v>
      </x:c>
      <x:c r="P594" s="112" t="str">
        <x:v>아니오</x:v>
      </x:c>
      <x:c r="Q594" s="113" t="str">
        <x:v>자동 분류·표본 검토 대상</x:v>
      </x:c>
    </x:row>
    <x:row r="595">
      <x:c r="A595" s="100" t="n">
        <x:v>594</x:v>
      </x:c>
      <x:c r="B595" s="101" t="n">
        <x:v>43586</x:v>
      </x:c>
      <x:c r="C595" s="102" t="n">
        <x:v>2019</x:v>
      </x:c>
      <x:c r="D595" s="103" t="str">
        <x:v>ID-221527215788</x:v>
      </x:c>
      <x:c r="E595" s="112" t="str">
        <x:v>[펌]애니메이션 스타일 나무 그리는 방법</x:v>
      </x:c>
      <x:c r="F595" s="112" t="str">
        <x:v>웹툰작법</x:v>
      </x:c>
      <x:c r="G595" s="112" t="str">
        <x:v>웹툰 참고</x:v>
      </x:c>
      <x:c r="H595" s="112" t="str">
        <x:v>작법·상업성</x:v>
      </x:c>
      <x:c r="I595" s="112" t="n">
        <x:v>1</x:v>
      </x:c>
      <x:c r="J595" s="112" t="str">
        <x:v>작법</x:v>
      </x:c>
      <x:c r="K595" s="112" t="str">
        <x:v>재게시</x:v>
      </x:c>
      <x:c r="L595" s="112" t="str">
        <x:v>높음</x:v>
      </x:c>
      <x:c r="M595" s="112" t="str">
        <x:v>제목의 펌/퍼옴 표시</x:v>
      </x:c>
      <x:c r="N595" s="116" t="str">
        <x:v>https://www.mclelun.com/2015/10/anime-tree-tutorial.html</x:v>
      </x:c>
      <x:c r="O595" s="116" t="str">
        <x:v>https://m.blog.naver.com/sntu2010/221527215788</x:v>
      </x:c>
      <x:c r="P595" s="112" t="str">
        <x:v>아니오</x:v>
      </x:c>
      <x:c r="Q595" s="113" t="str">
        <x:v>자동 분류·표본 검토 대상</x:v>
      </x:c>
    </x:row>
    <x:row r="596">
      <x:c r="A596" s="100" t="n">
        <x:v>595</x:v>
      </x:c>
      <x:c r="B596" s="101" t="n">
        <x:v>43586</x:v>
      </x:c>
      <x:c r="C596" s="102" t="n">
        <x:v>2019</x:v>
      </x:c>
      <x:c r="D596" s="103" t="str">
        <x:v>ID-221527204276</x:v>
      </x:c>
      <x:c r="E596" s="112" t="str">
        <x:v>[펌]애니메이션 스타일 구름 그리는 방법</x:v>
      </x:c>
      <x:c r="F596" s="112" t="str">
        <x:v>웹툰작법</x:v>
      </x:c>
      <x:c r="G596" s="112" t="str">
        <x:v>웹툰 참고</x:v>
      </x:c>
      <x:c r="H596" s="112" t="str">
        <x:v>작법·상업성</x:v>
      </x:c>
      <x:c r="I596" s="112" t="n">
        <x:v>1</x:v>
      </x:c>
      <x:c r="J596" s="112" t="str">
        <x:v>작법</x:v>
      </x:c>
      <x:c r="K596" s="112" t="str">
        <x:v>재게시</x:v>
      </x:c>
      <x:c r="L596" s="112" t="str">
        <x:v>높음</x:v>
      </x:c>
      <x:c r="M596" s="112" t="str">
        <x:v>제목의 펌/퍼옴 표시</x:v>
      </x:c>
      <x:c r="N596" s="116" t="str">
        <x:v>https://www.mclelun.com/2016/05/anime-cloud-tutorial.html</x:v>
      </x:c>
      <x:c r="O596" s="116" t="str">
        <x:v>https://m.blog.naver.com/sntu2010/221527204276</x:v>
      </x:c>
      <x:c r="P596" s="112" t="str">
        <x:v>아니오</x:v>
      </x:c>
      <x:c r="Q596" s="113" t="str">
        <x:v>자동 분류·표본 검토 대상</x:v>
      </x:c>
    </x:row>
    <x:row r="597">
      <x:c r="A597" s="100" t="n">
        <x:v>596</x:v>
      </x:c>
      <x:c r="B597" s="101" t="n">
        <x:v>43586</x:v>
      </x:c>
      <x:c r="C597" s="102" t="n">
        <x:v>2019</x:v>
      </x:c>
      <x:c r="D597" s="103" t="str">
        <x:v>ID-221527069648</x:v>
      </x:c>
      <x:c r="E597" s="112" t="str">
        <x:v>조아라 노블레스 베스트 지수를 완전 분석해보자</x:v>
      </x:c>
      <x:c r="F597" s="112" t="str">
        <x:v>웹소생각</x:v>
      </x:c>
      <x:c r="G597" s="112" t="str">
        <x:v>웹소설 직접</x:v>
      </x:c>
      <x:c r="H597" s="112" t="str">
        <x:v>플랫폼·투고·계약</x:v>
      </x:c>
      <x:c r="I597" s="112" t="n">
        <x:v>20</x:v>
      </x:c>
      <x:c r="J597" s="112" t="str">
        <x:v>조아라</x:v>
      </x:c>
      <x:c r="K597" s="112" t="str">
        <x:v>본인 작성/의견 추정</x:v>
      </x:c>
      <x:c r="L597" s="112" t="str">
        <x:v>낮음</x:v>
      </x:c>
      <x:c r="M597" s="112" t="str">
        <x:v>재게시 표시는 없으나 저자성 직접 증거 부족</x:v>
      </x:c>
      <x:c r="N597" s="116" t="str"/>
      <x:c r="O597" s="116" t="str">
        <x:v>https://m.blog.naver.com/sntu2010/221527069648</x:v>
      </x:c>
      <x:c r="P597" s="112" t="str">
        <x:v>예</x:v>
      </x:c>
      <x:c r="Q597" s="113" t="str">
        <x:v>자동 분류·표본 검토 대상</x:v>
      </x:c>
    </x:row>
    <x:row r="598">
      <x:c r="A598" s="100" t="n">
        <x:v>597</x:v>
      </x:c>
      <x:c r="B598" s="101" t="n">
        <x:v>43585</x:v>
      </x:c>
      <x:c r="C598" s="102" t="n">
        <x:v>2019</x:v>
      </x:c>
      <x:c r="D598" s="103" t="str">
        <x:v>ID-221526415365</x:v>
      </x:c>
      <x:c r="E598" s="112" t="str">
        <x:v>할리우드 스토리텔링 - 영웅 일대기</x:v>
      </x:c>
      <x:c r="F598" s="112" t="str">
        <x:v>웹툰생각</x:v>
      </x:c>
      <x:c r="G598" s="112" t="str">
        <x:v>웹툰 참고</x:v>
      </x:c>
      <x:c r="H598" s="112" t="str">
        <x:v>기타/검토</x:v>
      </x:c>
      <x:c r="I598" s="112" t="n">
        <x:v>0</x:v>
      </x:c>
      <x:c r="J598" s="112" t="str"/>
      <x:c r="K598" s="112" t="str">
        <x:v>본인 작성/의견 추정</x:v>
      </x:c>
      <x:c r="L598" s="112" t="str">
        <x:v>낮음</x:v>
      </x:c>
      <x:c r="M598" s="112" t="str">
        <x:v>재게시 표시는 없으나 저자성 직접 증거 부족</x:v>
      </x:c>
      <x:c r="N598" s="116" t="str"/>
      <x:c r="O598" s="116" t="str">
        <x:v>https://m.blog.naver.com/sntu2010/221526415365</x:v>
      </x:c>
      <x:c r="P598" s="112" t="str">
        <x:v>아니오</x:v>
      </x:c>
      <x:c r="Q598" s="113" t="str">
        <x:v>수동 검토 필요</x:v>
      </x:c>
    </x:row>
    <x:row r="599">
      <x:c r="A599" s="100" t="n">
        <x:v>598</x:v>
      </x:c>
      <x:c r="B599" s="101" t="n">
        <x:v>43584</x:v>
      </x:c>
      <x:c r="C599" s="102" t="n">
        <x:v>2019</x:v>
      </x:c>
      <x:c r="D599" s="103" t="str">
        <x:v>ID-221525291523</x:v>
      </x:c>
      <x:c r="E599" s="112" t="str">
        <x:v>[펌]회사다닐때 300 / 글쟁이 300 비교</x:v>
      </x:c>
      <x:c r="F599" s="112" t="str">
        <x:v>웹소작법</x:v>
      </x:c>
      <x:c r="G599" s="112" t="str">
        <x:v>웹소설 직접</x:v>
      </x:c>
      <x:c r="H599" s="112" t="str">
        <x:v>수익·운영</x:v>
      </x:c>
      <x:c r="I599" s="112" t="n">
        <x:v>1</x:v>
      </x:c>
      <x:c r="J599" s="112" t="str">
        <x:v>마감</x:v>
      </x:c>
      <x:c r="K599" s="112" t="str">
        <x:v>재게시</x:v>
      </x:c>
      <x:c r="L599" s="112" t="str">
        <x:v>높음</x:v>
      </x:c>
      <x:c r="M599" s="112" t="str">
        <x:v>제목의 펌/퍼옴 표시</x:v>
      </x:c>
      <x:c r="N599" s="116" t="str">
        <x:v>https://gall.dcinside.com/mgallery/board/view/?id=tgijjdd&amp;no=138104&amp;exception_mode=recommend&amp;page=1</x:v>
      </x:c>
      <x:c r="O599" s="116" t="str">
        <x:v>https://m.blog.naver.com/sntu2010/221525291523</x:v>
      </x:c>
      <x:c r="P599" s="112" t="str">
        <x:v>아니오</x:v>
      </x:c>
      <x:c r="Q599" s="113" t="str">
        <x:v>자동 분류·표본 검토 대상</x:v>
      </x:c>
    </x:row>
    <x:row r="600">
      <x:c r="A600" s="100" t="n">
        <x:v>599</x:v>
      </x:c>
      <x:c r="B600" s="101" t="n">
        <x:v>43584</x:v>
      </x:c>
      <x:c r="C600" s="102" t="n">
        <x:v>2019</x:v>
      </x:c>
      <x:c r="D600" s="103" t="str">
        <x:v>ID-221525274697</x:v>
      </x:c>
      <x:c r="E600" s="112" t="str">
        <x:v>한 달에 직장인 연봉을 버는 웹소설 작가의 비결</x:v>
      </x:c>
      <x:c r="F600" s="112" t="str">
        <x:v>웹소생각</x:v>
      </x:c>
      <x:c r="G600" s="112" t="str">
        <x:v>웹소설 직접</x:v>
      </x:c>
      <x:c r="H600" s="112" t="str">
        <x:v>수익·운영</x:v>
      </x:c>
      <x:c r="I600" s="112" t="n">
        <x:v>1</x:v>
      </x:c>
      <x:c r="J600" s="112" t="str">
        <x:v>수입</x:v>
      </x:c>
      <x:c r="K600" s="112" t="str">
        <x:v>본인 작성/의견 추정</x:v>
      </x:c>
      <x:c r="L600" s="112" t="str">
        <x:v>낮음</x:v>
      </x:c>
      <x:c r="M600" s="112" t="str">
        <x:v>재게시 표시는 없으나 저자성 직접 증거 부족</x:v>
      </x:c>
      <x:c r="N600" s="116" t="str"/>
      <x:c r="O600" s="116" t="str">
        <x:v>https://m.blog.naver.com/sntu2010/221525274697</x:v>
      </x:c>
      <x:c r="P600" s="112" t="str">
        <x:v>아니오</x:v>
      </x:c>
      <x:c r="Q600" s="113" t="str">
        <x:v>수동 검토 필요</x:v>
      </x:c>
    </x:row>
    <x:row r="601">
      <x:c r="A601" s="100" t="n">
        <x:v>600</x:v>
      </x:c>
      <x:c r="B601" s="101" t="n">
        <x:v>43583</x:v>
      </x:c>
      <x:c r="C601" s="102" t="n">
        <x:v>2019</x:v>
      </x:c>
      <x:c r="D601" s="103" t="str">
        <x:v>ID-221524922416</x:v>
      </x:c>
      <x:c r="E601" s="112" t="str">
        <x:v>[펌]조아라 노블 간소한 팁 모음</x:v>
      </x:c>
      <x:c r="F601" s="112" t="str">
        <x:v>웹소작법</x:v>
      </x:c>
      <x:c r="G601" s="112" t="str">
        <x:v>웹소설 직접</x:v>
      </x:c>
      <x:c r="H601" s="112" t="str">
        <x:v>플랫폼·투고·계약</x:v>
      </x:c>
      <x:c r="I601" s="112" t="n">
        <x:v>20</x:v>
      </x:c>
      <x:c r="J601" s="112" t="str">
        <x:v>조아라</x:v>
      </x:c>
      <x:c r="K601" s="112" t="str">
        <x:v>재게시</x:v>
      </x:c>
      <x:c r="L601" s="112" t="str">
        <x:v>높음</x:v>
      </x:c>
      <x:c r="M601" s="112" t="str">
        <x:v>제목의 펌/퍼옴 표시</x:v>
      </x:c>
      <x:c r="N601" s="116" t="str">
        <x:v>https://gall.dcinside.com/mgallery/board/view/?id=tgijjdd&amp;no=139680&amp;exception_mode=recommend&amp;page=1</x:v>
      </x:c>
      <x:c r="O601" s="116" t="str">
        <x:v>https://m.blog.naver.com/sntu2010/221524922416</x:v>
      </x:c>
      <x:c r="P601" s="112" t="str">
        <x:v>예</x:v>
      </x:c>
      <x:c r="Q601" s="113" t="str">
        <x:v>자동 분류·표본 검토 대상</x:v>
      </x:c>
    </x:row>
    <x:row r="602">
      <x:c r="A602" s="100" t="n">
        <x:v>601</x:v>
      </x:c>
      <x:c r="B602" s="101" t="n">
        <x:v>43581</x:v>
      </x:c>
      <x:c r="C602" s="102" t="n">
        <x:v>2019</x:v>
      </x:c>
      <x:c r="D602" s="103" t="str">
        <x:v>ID-221523147414</x:v>
      </x:c>
      <x:c r="E602" s="112" t="str">
        <x:v>[펌]계약 3번하면서 느낀점</x:v>
      </x:c>
      <x:c r="F602" s="112" t="str">
        <x:v>웹소작법</x:v>
      </x:c>
      <x:c r="G602" s="112" t="str">
        <x:v>웹소설 직접</x:v>
      </x:c>
      <x:c r="H602" s="112" t="str">
        <x:v>플랫폼·투고·계약</x:v>
      </x:c>
      <x:c r="I602" s="112" t="n">
        <x:v>25</x:v>
      </x:c>
      <x:c r="J602" s="112" t="str">
        <x:v>계약, 매니지</x:v>
      </x:c>
      <x:c r="K602" s="112" t="str">
        <x:v>재게시</x:v>
      </x:c>
      <x:c r="L602" s="112" t="str">
        <x:v>높음</x:v>
      </x:c>
      <x:c r="M602" s="112" t="str">
        <x:v>제목의 펌/퍼옴 표시</x:v>
      </x:c>
      <x:c r="N602" s="116" t="str">
        <x:v>https://gall.dcinside.com/mgallery/board/view/?id=tgijjdd&amp;no=138407&amp;exception_mode=recommend&amp;page=1</x:v>
      </x:c>
      <x:c r="O602" s="116" t="str">
        <x:v>https://m.blog.naver.com/sntu2010/221523147414</x:v>
      </x:c>
      <x:c r="P602" s="112" t="str">
        <x:v>예</x:v>
      </x:c>
      <x:c r="Q602" s="113" t="str">
        <x:v>자동 분류·표본 검토 대상</x:v>
      </x:c>
    </x:row>
    <x:row r="603">
      <x:c r="A603" s="100" t="n">
        <x:v>602</x:v>
      </x:c>
      <x:c r="B603" s="101" t="n">
        <x:v>43579</x:v>
      </x:c>
      <x:c r="C603" s="102" t="n">
        <x:v>2019</x:v>
      </x:c>
      <x:c r="D603" s="103" t="str">
        <x:v>ID-221521584165</x:v>
      </x:c>
      <x:c r="E603" s="112" t="str">
        <x:v>[펌]읽기 쉽고 좋은 문장을 쓰는 법</x:v>
      </x:c>
      <x:c r="F603" s="112" t="str">
        <x:v>웹소작법</x:v>
      </x:c>
      <x:c r="G603" s="112" t="str">
        <x:v>웹소설 직접</x:v>
      </x:c>
      <x:c r="H603" s="112" t="str">
        <x:v>작법·상업성</x:v>
      </x:c>
      <x:c r="I603" s="112" t="n">
        <x:v>24</x:v>
      </x:c>
      <x:c r="J603" s="112" t="str">
        <x:v>문장, 작법</x:v>
      </x:c>
      <x:c r="K603" s="112" t="str">
        <x:v>재게시</x:v>
      </x:c>
      <x:c r="L603" s="112" t="str">
        <x:v>높음</x:v>
      </x:c>
      <x:c r="M603" s="112" t="str">
        <x:v>제목의 펌/퍼옴 표시</x:v>
      </x:c>
      <x:c r="N603" s="116" t="str">
        <x:v>https://gall.dcinside.com/mgallery/board/view/?id=tgijjdd&amp;no=137527&amp;exception_mode=recommend&amp;page=1</x:v>
      </x:c>
      <x:c r="O603" s="116" t="str">
        <x:v>https://m.blog.naver.com/sntu2010/221521584165</x:v>
      </x:c>
      <x:c r="P603" s="112" t="str">
        <x:v>예</x:v>
      </x:c>
      <x:c r="Q603" s="113" t="str">
        <x:v>자동 분류·표본 검토 대상</x:v>
      </x:c>
    </x:row>
    <x:row r="604">
      <x:c r="A604" s="100" t="n">
        <x:v>603</x:v>
      </x:c>
      <x:c r="B604" s="101" t="n">
        <x:v>43578</x:v>
      </x:c>
      <x:c r="C604" s="102" t="n">
        <x:v>2019</x:v>
      </x:c>
      <x:c r="D604" s="103" t="str">
        <x:v>ID-221520730566</x:v>
      </x:c>
      <x:c r="E604" s="112" t="str">
        <x:v>[펌]강산 작가가 알려주는 선인세</x:v>
      </x:c>
      <x:c r="F604" s="112" t="str">
        <x:v>웹소작법</x:v>
      </x:c>
      <x:c r="G604" s="112" t="str">
        <x:v>웹소설 직접</x:v>
      </x:c>
      <x:c r="H604" s="112" t="str">
        <x:v>수익·운영</x:v>
      </x:c>
      <x:c r="I604" s="112" t="n">
        <x:v>28</x:v>
      </x:c>
      <x:c r="J604" s="112" t="str">
        <x:v>인세, 금액</x:v>
      </x:c>
      <x:c r="K604" s="112" t="str">
        <x:v>재게시</x:v>
      </x:c>
      <x:c r="L604" s="112" t="str">
        <x:v>높음</x:v>
      </x:c>
      <x:c r="M604" s="112" t="str">
        <x:v>제목의 펌/퍼옴 표시</x:v>
      </x:c>
      <x:c r="N604" s="116" t="str">
        <x:v>https://gall.dcinside.com/mgallery/board/view/?id=tgijjdd&amp;no=115649&amp;page=1</x:v>
      </x:c>
      <x:c r="O604" s="116" t="str">
        <x:v>https://m.blog.naver.com/sntu2010/221520730566</x:v>
      </x:c>
      <x:c r="P604" s="112" t="str">
        <x:v>예</x:v>
      </x:c>
      <x:c r="Q604" s="113" t="str">
        <x:v>자동 분류·표본 검토 대상</x:v>
      </x:c>
    </x:row>
    <x:row r="605">
      <x:c r="A605" s="100" t="n">
        <x:v>604</x:v>
      </x:c>
      <x:c r="B605" s="101" t="n">
        <x:v>43578</x:v>
      </x:c>
      <x:c r="C605" s="102" t="n">
        <x:v>2019</x:v>
      </x:c>
      <x:c r="D605" s="103" t="str">
        <x:v>ID-221520728091</x:v>
      </x:c>
      <x:c r="E605" s="112" t="str">
        <x:v>[펌]강산 작가가 알려주는 신입 작가 계약</x:v>
      </x:c>
      <x:c r="F605" s="112" t="str">
        <x:v>웹소작법</x:v>
      </x:c>
      <x:c r="G605" s="112" t="str">
        <x:v>웹소설 직접</x:v>
      </x:c>
      <x:c r="H605" s="112" t="str">
        <x:v>플랫폼·투고·계약</x:v>
      </x:c>
      <x:c r="I605" s="112" t="n">
        <x:v>28</x:v>
      </x:c>
      <x:c r="J605" s="112" t="str">
        <x:v>계약, 매니지, 플랫폼</x:v>
      </x:c>
      <x:c r="K605" s="112" t="str">
        <x:v>재게시</x:v>
      </x:c>
      <x:c r="L605" s="112" t="str">
        <x:v>높음</x:v>
      </x:c>
      <x:c r="M605" s="112" t="str">
        <x:v>제목의 펌/퍼옴 표시</x:v>
      </x:c>
      <x:c r="N605" s="116" t="str">
        <x:v>https://gall.dcinside.com/mgallery/board/view/?id=tgijjdd&amp;no=115720&amp;page=1</x:v>
      </x:c>
      <x:c r="O605" s="116" t="str">
        <x:v>https://m.blog.naver.com/sntu2010/221520728091</x:v>
      </x:c>
      <x:c r="P605" s="112" t="str">
        <x:v>예</x:v>
      </x:c>
      <x:c r="Q605" s="113" t="str">
        <x:v>자동 분류·표본 검토 대상</x:v>
      </x:c>
    </x:row>
    <x:row r="606">
      <x:c r="A606" s="100" t="n">
        <x:v>605</x:v>
      </x:c>
      <x:c r="B606" s="101" t="n">
        <x:v>43578</x:v>
      </x:c>
      <x:c r="C606" s="102" t="n">
        <x:v>2019</x:v>
      </x:c>
      <x:c r="D606" s="103" t="str">
        <x:v>ID-221520489950</x:v>
      </x:c>
      <x:c r="E606" s="112" t="str">
        <x:v>[펌]싱숑/유려한 성공 요인 분석과 향후 트렌드 예측</x:v>
      </x:c>
      <x:c r="F606" s="112" t="str">
        <x:v>웹소작법</x:v>
      </x:c>
      <x:c r="G606" s="112" t="str">
        <x:v>웹소설 직접</x:v>
      </x:c>
      <x:c r="H606" s="112" t="str">
        <x:v>작법·상업성</x:v>
      </x:c>
      <x:c r="I606" s="112" t="n">
        <x:v>24</x:v>
      </x:c>
      <x:c r="J606" s="112" t="str">
        <x:v>트렌드, 설정, 소재, 독자, 작법</x:v>
      </x:c>
      <x:c r="K606" s="112" t="str">
        <x:v>재게시</x:v>
      </x:c>
      <x:c r="L606" s="112" t="str">
        <x:v>높음</x:v>
      </x:c>
      <x:c r="M606" s="112" t="str">
        <x:v>제목의 펌/퍼옴 표시</x:v>
      </x:c>
      <x:c r="N606" s="116" t="str">
        <x:v>https://gall.dcinside.com/mgallery/board/view/?id=tgijjdd&amp;no=49231&amp;search_pos=-53347&amp;s_type=search_subject&amp;s_keyword=%EB%B6%84%EC%84%9D&amp;page=1</x:v>
      </x:c>
      <x:c r="O606" s="116" t="str">
        <x:v>https://m.blog.naver.com/sntu2010/221520489950</x:v>
      </x:c>
      <x:c r="P606" s="112" t="str">
        <x:v>예</x:v>
      </x:c>
      <x:c r="Q606" s="113" t="str">
        <x:v>자동 분류·표본 검토 대상</x:v>
      </x:c>
    </x:row>
    <x:row r="607">
      <x:c r="A607" s="100" t="n">
        <x:v>606</x:v>
      </x:c>
      <x:c r="B607" s="101" t="n">
        <x:v>43578</x:v>
      </x:c>
      <x:c r="C607" s="102" t="n">
        <x:v>2019</x:v>
      </x:c>
      <x:c r="D607" s="103" t="str">
        <x:v>ID-221520485945</x:v>
      </x:c>
      <x:c r="E607" s="112" t="str">
        <x:v>[펌]글쟁이S 작품 분석</x:v>
      </x:c>
      <x:c r="F607" s="112" t="str">
        <x:v>웹소작법</x:v>
      </x:c>
      <x:c r="G607" s="112" t="str">
        <x:v>웹소설 직접</x:v>
      </x:c>
      <x:c r="H607" s="112" t="str">
        <x:v>캐릭터·전개</x:v>
      </x:c>
      <x:c r="I607" s="112" t="n">
        <x:v>5</x:v>
      </x:c>
      <x:c r="J607" s="112" t="str">
        <x:v>캐릭터</x:v>
      </x:c>
      <x:c r="K607" s="112" t="str">
        <x:v>재게시</x:v>
      </x:c>
      <x:c r="L607" s="112" t="str">
        <x:v>높음</x:v>
      </x:c>
      <x:c r="M607" s="112" t="str">
        <x:v>제목의 펌/퍼옴 표시</x:v>
      </x:c>
      <x:c r="N607" s="116" t="str">
        <x:v>https://gall.dcinside.com/mgallery/board/view/?id=tgijjdd&amp;no=63555&amp;search_pos=-63347&amp;s_type=search_subject&amp;s_keyword=%EB%B6%84%EC%84%9D&amp;page=1</x:v>
      </x:c>
      <x:c r="O607" s="116" t="str">
        <x:v>https://m.blog.naver.com/sntu2010/221520485945</x:v>
      </x:c>
      <x:c r="P607" s="112" t="str">
        <x:v>아니오</x:v>
      </x:c>
      <x:c r="Q607" s="113" t="str">
        <x:v>자동 분류·표본 검토 대상</x:v>
      </x:c>
    </x:row>
    <x:row r="608">
      <x:c r="A608" s="100" t="n">
        <x:v>607</x:v>
      </x:c>
      <x:c r="B608" s="101" t="n">
        <x:v>43578</x:v>
      </x:c>
      <x:c r="C608" s="102" t="n">
        <x:v>2019</x:v>
      </x:c>
      <x:c r="D608" s="103" t="str">
        <x:v>ID-221520481936</x:v>
      </x:c>
      <x:c r="E608" s="112" t="str">
        <x:v>[펌]제목 어그로는 어떻게 끌어야할까 (분석)</x:v>
      </x:c>
      <x:c r="F608" s="112" t="str">
        <x:v>웹소작법</x:v>
      </x:c>
      <x:c r="G608" s="112" t="str">
        <x:v>웹소설 직접</x:v>
      </x:c>
      <x:c r="H608" s="112" t="str">
        <x:v>작법·상업성</x:v>
      </x:c>
      <x:c r="I608" s="112" t="n">
        <x:v>28</x:v>
      </x:c>
      <x:c r="J608" s="112" t="str">
        <x:v>제목, 소개글, 독자, 작법</x:v>
      </x:c>
      <x:c r="K608" s="112" t="str">
        <x:v>재게시</x:v>
      </x:c>
      <x:c r="L608" s="112" t="str">
        <x:v>높음</x:v>
      </x:c>
      <x:c r="M608" s="112" t="str">
        <x:v>제목의 펌/퍼옴 표시</x:v>
      </x:c>
      <x:c r="N608" s="116" t="str">
        <x:v>https://gall.dcinside.com/mgallery/board/view/?id=tgijjdd&amp;no=35353&amp;search_pos=-43347&amp;s_type=search_subject&amp;s_keyword=%EB%B6%84%EC%84%9D&amp;page=1</x:v>
      </x:c>
      <x:c r="O608" s="116" t="str">
        <x:v>https://m.blog.naver.com/sntu2010/221520481936</x:v>
      </x:c>
      <x:c r="P608" s="112" t="str">
        <x:v>예</x:v>
      </x:c>
      <x:c r="Q608" s="113" t="str">
        <x:v>자동 분류·표본 검토 대상</x:v>
      </x:c>
    </x:row>
    <x:row r="609">
      <x:c r="A609" s="100" t="n">
        <x:v>608</x:v>
      </x:c>
      <x:c r="B609" s="101" t="n">
        <x:v>43578</x:v>
      </x:c>
      <x:c r="C609" s="102" t="n">
        <x:v>2019</x:v>
      </x:c>
      <x:c r="D609" s="103" t="str">
        <x:v>ID-221520418756</x:v>
      </x:c>
      <x:c r="E609" s="112" t="str">
        <x:v>[펌]전지적 독자 시점 분석해봤다</x:v>
      </x:c>
      <x:c r="F609" s="112" t="str">
        <x:v>웹소작법</x:v>
      </x:c>
      <x:c r="G609" s="112" t="str">
        <x:v>웹소설 직접</x:v>
      </x:c>
      <x:c r="H609" s="112" t="str">
        <x:v>작법·상업성</x:v>
      </x:c>
      <x:c r="I609" s="112" t="n">
        <x:v>26</x:v>
      </x:c>
      <x:c r="J609" s="112" t="str">
        <x:v>독자, 장르, 대리만족, 작법</x:v>
      </x:c>
      <x:c r="K609" s="112" t="str">
        <x:v>재게시</x:v>
      </x:c>
      <x:c r="L609" s="112" t="str">
        <x:v>높음</x:v>
      </x:c>
      <x:c r="M609" s="112" t="str">
        <x:v>제목의 펌/퍼옴 표시</x:v>
      </x:c>
      <x:c r="N609" s="116" t="str">
        <x:v>https://gall.dcinside.com/mgallery/board/view/?id=tgijjdd&amp;no=23922&amp;search_pos=-23347&amp;s_type=search_subject&amp;s_keyword=%EB%B6%84%EC%84%9D&amp;page=1</x:v>
      </x:c>
      <x:c r="O609" s="116" t="str">
        <x:v>https://m.blog.naver.com/sntu2010/221520418756</x:v>
      </x:c>
      <x:c r="P609" s="112" t="str">
        <x:v>예</x:v>
      </x:c>
      <x:c r="Q609" s="113" t="str">
        <x:v>자동 분류·표본 검토 대상</x:v>
      </x:c>
    </x:row>
    <x:row r="610">
      <x:c r="A610" s="100" t="n">
        <x:v>609</x:v>
      </x:c>
      <x:c r="B610" s="101" t="n">
        <x:v>43578</x:v>
      </x:c>
      <x:c r="C610" s="102" t="n">
        <x:v>2019</x:v>
      </x:c>
      <x:c r="D610" s="103" t="str">
        <x:v>ID-221520395469</x:v>
      </x:c>
      <x:c r="E610" s="112" t="str">
        <x:v>인기 작품을 분석하는 다양한 방법</x:v>
      </x:c>
      <x:c r="F610" s="112" t="str">
        <x:v>웹소생각</x:v>
      </x:c>
      <x:c r="G610" s="112" t="str">
        <x:v>웹소설 직접</x:v>
      </x:c>
      <x:c r="H610" s="112" t="str">
        <x:v>캐릭터·전개</x:v>
      </x:c>
      <x:c r="I610" s="112" t="n">
        <x:v>4</x:v>
      </x:c>
      <x:c r="J610" s="112" t="str">
        <x:v>에피소드, 전개, 주인공</x:v>
      </x:c>
      <x:c r="K610" s="112" t="str">
        <x:v>본인 작성/의견 추정</x:v>
      </x:c>
      <x:c r="L610" s="112" t="str">
        <x:v>낮음</x:v>
      </x:c>
      <x:c r="M610" s="112" t="str">
        <x:v>재게시 표시는 없으나 저자성 직접 증거 부족</x:v>
      </x:c>
      <x:c r="N610" s="116" t="str"/>
      <x:c r="O610" s="116" t="str">
        <x:v>https://m.blog.naver.com/sntu2010/221520395469</x:v>
      </x:c>
      <x:c r="P610" s="112" t="str">
        <x:v>아니오</x:v>
      </x:c>
      <x:c r="Q610" s="113" t="str">
        <x:v>자동 분류·표본 검토 대상</x:v>
      </x:c>
    </x:row>
    <x:row r="611">
      <x:c r="A611" s="100" t="n">
        <x:v>610</x:v>
      </x:c>
      <x:c r="B611" s="101" t="n">
        <x:v>43578</x:v>
      </x:c>
      <x:c r="C611" s="102" t="n">
        <x:v>2019</x:v>
      </x:c>
      <x:c r="D611" s="103" t="str">
        <x:v>ID-221520385915</x:v>
      </x:c>
      <x:c r="E611" s="112" t="str">
        <x:v>[펌]사상 최강의 매니저 1 ~ 10화 플롯 분석</x:v>
      </x:c>
      <x:c r="F611" s="112" t="str">
        <x:v>웹소작법</x:v>
      </x:c>
      <x:c r="G611" s="112" t="str">
        <x:v>웹소설 직접</x:v>
      </x:c>
      <x:c r="H611" s="112" t="str">
        <x:v>초반부/연독률</x:v>
      </x:c>
      <x:c r="I611" s="112" t="n">
        <x:v>24</x:v>
      </x:c>
      <x:c r="J611" s="112" t="str">
        <x:v>10화, 1화, 2화, 3화</x:v>
      </x:c>
      <x:c r="K611" s="112" t="str">
        <x:v>재게시</x:v>
      </x:c>
      <x:c r="L611" s="112" t="str">
        <x:v>높음</x:v>
      </x:c>
      <x:c r="M611" s="112" t="str">
        <x:v>제목의 펌/퍼옴 표시</x:v>
      </x:c>
      <x:c r="N611" s="116" t="str">
        <x:v>https://gall.dcinside.com/mgallery/board/view/?id=tgijjdd&amp;no=97113&amp;search_pos=-103347&amp;s_type=search_subject&amp;s_keyword=%EB%B6%84%EC%84%9D&amp;page=1</x:v>
      </x:c>
      <x:c r="O611" s="116" t="str">
        <x:v>https://m.blog.naver.com/sntu2010/221520385915</x:v>
      </x:c>
      <x:c r="P611" s="112" t="str">
        <x:v>예</x:v>
      </x:c>
      <x:c r="Q611" s="113" t="str">
        <x:v>자동 분류·표본 검토 대상</x:v>
      </x:c>
    </x:row>
    <x:row r="612">
      <x:c r="A612" s="100" t="n">
        <x:v>611</x:v>
      </x:c>
      <x:c r="B612" s="101" t="n">
        <x:v>43578</x:v>
      </x:c>
      <x:c r="C612" s="102" t="n">
        <x:v>2019</x:v>
      </x:c>
      <x:c r="D612" s="103" t="str">
        <x:v>ID-221520384464</x:v>
      </x:c>
      <x:c r="E612" s="112" t="str">
        <x:v>[펌]환생표사 10화까지 초간단 분석글</x:v>
      </x:c>
      <x:c r="F612" s="112" t="str">
        <x:v>웹소작법</x:v>
      </x:c>
      <x:c r="G612" s="112" t="str">
        <x:v>웹소설 직접</x:v>
      </x:c>
      <x:c r="H612" s="112" t="str">
        <x:v>초반부/연독률</x:v>
      </x:c>
      <x:c r="I612" s="112" t="n">
        <x:v>24</x:v>
      </x:c>
      <x:c r="J612" s="112" t="str">
        <x:v>10화, 1화, 2화, 3화, 5화</x:v>
      </x:c>
      <x:c r="K612" s="112" t="str">
        <x:v>재게시</x:v>
      </x:c>
      <x:c r="L612" s="112" t="str">
        <x:v>높음</x:v>
      </x:c>
      <x:c r="M612" s="112" t="str">
        <x:v>제목의 펌/퍼옴 표시</x:v>
      </x:c>
      <x:c r="N612" s="116" t="str">
        <x:v>https://gall.dcinside.com/mgallery/board/view/?id=tgijjdd&amp;no=113163&amp;search_pos=-113347&amp;s_type=search_subject&amp;s_keyword=%EB%B6%84%EC%84%9D&amp;page=1</x:v>
      </x:c>
      <x:c r="O612" s="116" t="str">
        <x:v>https://m.blog.naver.com/sntu2010/221520384464</x:v>
      </x:c>
      <x:c r="P612" s="112" t="str">
        <x:v>예</x:v>
      </x:c>
      <x:c r="Q612" s="113" t="str">
        <x:v>자동 분류·표본 검토 대상</x:v>
      </x:c>
    </x:row>
    <x:row r="613">
      <x:c r="A613" s="100" t="n">
        <x:v>612</x:v>
      </x:c>
      <x:c r="B613" s="101" t="n">
        <x:v>43577</x:v>
      </x:c>
      <x:c r="C613" s="102" t="n">
        <x:v>2019</x:v>
      </x:c>
      <x:c r="D613" s="103" t="str">
        <x:v>ID-221519669837</x:v>
      </x:c>
      <x:c r="E613" s="112" t="str">
        <x:v>주인공의 성장과 보상에 대해 알아보자!</x:v>
      </x:c>
      <x:c r="F613" s="112" t="str">
        <x:v>웹소생각</x:v>
      </x:c>
      <x:c r="G613" s="112" t="str">
        <x:v>웹소설 직접</x:v>
      </x:c>
      <x:c r="H613" s="112" t="str">
        <x:v>캐릭터·전개</x:v>
      </x:c>
      <x:c r="I613" s="112" t="n">
        <x:v>25</x:v>
      </x:c>
      <x:c r="J613" s="112" t="str">
        <x:v>주인공, 에피소드, 전개</x:v>
      </x:c>
      <x:c r="K613" s="112" t="str">
        <x:v>본인 작성/의견 추정</x:v>
      </x:c>
      <x:c r="L613" s="112" t="str">
        <x:v>낮음</x:v>
      </x:c>
      <x:c r="M613" s="112" t="str">
        <x:v>재게시 표시는 없으나 저자성 직접 증거 부족</x:v>
      </x:c>
      <x:c r="N613" s="116" t="str"/>
      <x:c r="O613" s="116" t="str">
        <x:v>https://m.blog.naver.com/sntu2010/221519669837</x:v>
      </x:c>
      <x:c r="P613" s="112" t="str">
        <x:v>예</x:v>
      </x:c>
      <x:c r="Q613" s="113" t="str">
        <x:v>자동 분류·표본 검토 대상</x:v>
      </x:c>
    </x:row>
    <x:row r="614">
      <x:c r="A614" s="100" t="n">
        <x:v>613</x:v>
      </x:c>
      <x:c r="B614" s="101" t="n">
        <x:v>43577</x:v>
      </x:c>
      <x:c r="C614" s="102" t="n">
        <x:v>2019</x:v>
      </x:c>
      <x:c r="D614" s="103" t="str">
        <x:v>ID-221519571099</x:v>
      </x:c>
      <x:c r="E614" s="112" t="str">
        <x:v>카타르시스를 주는 방법? 고구마와 사이다 그리고 기대감</x:v>
      </x:c>
      <x:c r="F614" s="112" t="str">
        <x:v>웹소생각</x:v>
      </x:c>
      <x:c r="G614" s="112" t="str">
        <x:v>웹소설 직접</x:v>
      </x:c>
      <x:c r="H614" s="112" t="str">
        <x:v>작법·상업성</x:v>
      </x:c>
      <x:c r="I614" s="112" t="n">
        <x:v>65</x:v>
      </x:c>
      <x:c r="J614" s="112" t="str">
        <x:v>고구마, 사이다, 기대감, 독자, 재미</x:v>
      </x:c>
      <x:c r="K614" s="112" t="str">
        <x:v>본인 작성/의견 추정</x:v>
      </x:c>
      <x:c r="L614" s="112" t="str">
        <x:v>낮음</x:v>
      </x:c>
      <x:c r="M614" s="112" t="str">
        <x:v>재게시 표시는 없으나 저자성 직접 증거 부족</x:v>
      </x:c>
      <x:c r="N614" s="116" t="str"/>
      <x:c r="O614" s="116" t="str">
        <x:v>https://m.blog.naver.com/sntu2010/221519571099</x:v>
      </x:c>
      <x:c r="P614" s="112" t="str">
        <x:v>예</x:v>
      </x:c>
      <x:c r="Q614" s="113" t="str">
        <x:v>자동 분류·표본 검토 대상</x:v>
      </x:c>
    </x:row>
    <x:row r="615">
      <x:c r="A615" s="100" t="n">
        <x:v>614</x:v>
      </x:c>
      <x:c r="B615" s="101" t="n">
        <x:v>43577</x:v>
      </x:c>
      <x:c r="C615" s="102" t="n">
        <x:v>2019</x:v>
      </x:c>
      <x:c r="D615" s="103" t="str">
        <x:v>ID-221519517410</x:v>
      </x:c>
      <x:c r="E615" s="112" t="str">
        <x:v>[펌]다독, 다작,</x:v>
      </x:c>
      <x:c r="F615" s="112" t="str">
        <x:v>웹소작법</x:v>
      </x:c>
      <x:c r="G615" s="112" t="str">
        <x:v>웹소설 직접</x:v>
      </x:c>
      <x:c r="H615" s="112" t="str">
        <x:v>작법·상업성</x:v>
      </x:c>
      <x:c r="I615" s="112" t="n">
        <x:v>4</x:v>
      </x:c>
      <x:c r="J615" s="112" t="str">
        <x:v>글쓰기, 문장, 작법</x:v>
      </x:c>
      <x:c r="K615" s="112" t="str">
        <x:v>재게시</x:v>
      </x:c>
      <x:c r="L615" s="112" t="str">
        <x:v>높음</x:v>
      </x:c>
      <x:c r="M615" s="112" t="str">
        <x:v>제목의 펌/퍼옴 표시</x:v>
      </x:c>
      <x:c r="N615" s="116" t="str">
        <x:v>https://gall.dcinside.com/mgallery/board/view/?id=tgijjdd&amp;no=135723&amp;exception_mode=recommend&amp;page=1</x:v>
      </x:c>
      <x:c r="O615" s="116" t="str">
        <x:v>https://m.blog.naver.com/sntu2010/221519517410</x:v>
      </x:c>
      <x:c r="P615" s="112" t="str">
        <x:v>아니오</x:v>
      </x:c>
      <x:c r="Q615" s="113" t="str">
        <x:v>자동 분류·표본 검토 대상</x:v>
      </x:c>
    </x:row>
    <x:row r="616">
      <x:c r="A616" s="100" t="n">
        <x:v>615</x:v>
      </x:c>
      <x:c r="B616" s="101" t="n">
        <x:v>43577</x:v>
      </x:c>
      <x:c r="C616" s="102" t="n">
        <x:v>2019</x:v>
      </x:c>
      <x:c r="D616" s="103" t="str">
        <x:v>ID-221519512968</x:v>
      </x:c>
      <x:c r="E616" s="112" t="str">
        <x:v>[펌]기성 작가의 끌팁 노아우를 알려주마</x:v>
      </x:c>
      <x:c r="F616" s="112" t="str">
        <x:v>웹소작법</x:v>
      </x:c>
      <x:c r="G616" s="112" t="str">
        <x:v>웹소설 직접</x:v>
      </x:c>
      <x:c r="H616" s="112" t="str">
        <x:v>작법·상업성</x:v>
      </x:c>
      <x:c r="I616" s="112" t="n">
        <x:v>8</x:v>
      </x:c>
      <x:c r="J616" s="112" t="str">
        <x:v>트렌드, 장르, 독자, 문장, 작법</x:v>
      </x:c>
      <x:c r="K616" s="112" t="str">
        <x:v>재게시</x:v>
      </x:c>
      <x:c r="L616" s="112" t="str">
        <x:v>높음</x:v>
      </x:c>
      <x:c r="M616" s="112" t="str">
        <x:v>제목의 펌/퍼옴 표시</x:v>
      </x:c>
      <x:c r="N616" s="116" t="str">
        <x:v>https://gall.dcinside.com/mgallery/board/view/?id=tgijjdd&amp;no=135790&amp;exception_mode=recommend&amp;page=1</x:v>
      </x:c>
      <x:c r="O616" s="116" t="str">
        <x:v>https://m.blog.naver.com/sntu2010/221519512968</x:v>
      </x:c>
      <x:c r="P616" s="112" t="str">
        <x:v>예</x:v>
      </x:c>
      <x:c r="Q616" s="113" t="str">
        <x:v>자동 분류·표본 검토 대상</x:v>
      </x:c>
    </x:row>
    <x:row r="617">
      <x:c r="A617" s="100" t="n">
        <x:v>616</x:v>
      </x:c>
      <x:c r="B617" s="101" t="n">
        <x:v>43577</x:v>
      </x:c>
      <x:c r="C617" s="102" t="n">
        <x:v>2019</x:v>
      </x:c>
      <x:c r="D617" s="103" t="str">
        <x:v>ID-221519508266</x:v>
      </x:c>
      <x:c r="E617" s="112" t="str">
        <x:v>[펌]옛날에 출판사 편집자님께 들었던 좋은 설명충 등급</x:v>
      </x:c>
      <x:c r="F617" s="112" t="str">
        <x:v>웹소작법</x:v>
      </x:c>
      <x:c r="G617" s="112" t="str">
        <x:v>웹소설 직접</x:v>
      </x:c>
      <x:c r="H617" s="112" t="str">
        <x:v>플랫폼·투고·계약</x:v>
      </x:c>
      <x:c r="I617" s="112" t="n">
        <x:v>20</x:v>
      </x:c>
      <x:c r="J617" s="112" t="str">
        <x:v>출판사</x:v>
      </x:c>
      <x:c r="K617" s="112" t="str">
        <x:v>재게시</x:v>
      </x:c>
      <x:c r="L617" s="112" t="str">
        <x:v>높음</x:v>
      </x:c>
      <x:c r="M617" s="112" t="str">
        <x:v>제목의 펌/퍼옴 표시</x:v>
      </x:c>
      <x:c r="N617" s="116" t="str">
        <x:v>https://gall.dcinside.com/mgallery/board/view/?id=tgijjdd&amp;no=136353&amp;exception_mode=recommend&amp;page=1</x:v>
      </x:c>
      <x:c r="O617" s="116" t="str">
        <x:v>https://m.blog.naver.com/sntu2010/221519508266</x:v>
      </x:c>
      <x:c r="P617" s="112" t="str">
        <x:v>예</x:v>
      </x:c>
      <x:c r="Q617" s="113" t="str">
        <x:v>자동 분류·표본 검토 대상</x:v>
      </x:c>
    </x:row>
    <x:row r="618">
      <x:c r="A618" s="100" t="n">
        <x:v>617</x:v>
      </x:c>
      <x:c r="B618" s="101" t="n">
        <x:v>43577</x:v>
      </x:c>
      <x:c r="C618" s="102" t="n">
        <x:v>2019</x:v>
      </x:c>
      <x:c r="D618" s="103" t="str">
        <x:v>ID-221519504234</x:v>
      </x:c>
      <x:c r="E618" s="112" t="str">
        <x:v>[펌]글 쓸 때 유념할 것들</x:v>
      </x:c>
      <x:c r="F618" s="112" t="str">
        <x:v>웹소작법</x:v>
      </x:c>
      <x:c r="G618" s="112" t="str">
        <x:v>웹소설 직접</x:v>
      </x:c>
      <x:c r="H618" s="112" t="str">
        <x:v>작법·상업성</x:v>
      </x:c>
      <x:c r="I618" s="112" t="n">
        <x:v>2</x:v>
      </x:c>
      <x:c r="J618" s="112" t="str">
        <x:v>문장, 작법</x:v>
      </x:c>
      <x:c r="K618" s="112" t="str">
        <x:v>재게시</x:v>
      </x:c>
      <x:c r="L618" s="112" t="str">
        <x:v>높음</x:v>
      </x:c>
      <x:c r="M618" s="112" t="str">
        <x:v>제목의 펌/퍼옴 표시</x:v>
      </x:c>
      <x:c r="N618" s="116" t="str">
        <x:v>https://gall.dcinside.com/mgallery/board/view/?id=tgijjdd&amp;no=136538&amp;exception_mode=recommend&amp;page=1</x:v>
      </x:c>
      <x:c r="O618" s="116" t="str">
        <x:v>https://m.blog.naver.com/sntu2010/221519504234</x:v>
      </x:c>
      <x:c r="P618" s="112" t="str">
        <x:v>아니오</x:v>
      </x:c>
      <x:c r="Q618" s="113" t="str">
        <x:v>자동 분류·표본 검토 대상</x:v>
      </x:c>
    </x:row>
    <x:row r="619">
      <x:c r="A619" s="100" t="n">
        <x:v>618</x:v>
      </x:c>
      <x:c r="B619" s="101" t="n">
        <x:v>43577</x:v>
      </x:c>
      <x:c r="C619" s="102" t="n">
        <x:v>2019</x:v>
      </x:c>
      <x:c r="D619" s="103" t="str">
        <x:v>ID-221519502574</x:v>
      </x:c>
      <x:c r="E619" s="112" t="str">
        <x:v>[펌]매니지 선택에 관한 개인적인 생각</x:v>
      </x:c>
      <x:c r="F619" s="112" t="str">
        <x:v>웹소작법</x:v>
      </x:c>
      <x:c r="G619" s="112" t="str">
        <x:v>웹소설 직접</x:v>
      </x:c>
      <x:c r="H619" s="112" t="str">
        <x:v>플랫폼·투고·계약</x:v>
      </x:c>
      <x:c r="I619" s="112" t="n">
        <x:v>28</x:v>
      </x:c>
      <x:c r="J619" s="112" t="str">
        <x:v>매니지, 계약</x:v>
      </x:c>
      <x:c r="K619" s="112" t="str">
        <x:v>재게시</x:v>
      </x:c>
      <x:c r="L619" s="112" t="str">
        <x:v>높음</x:v>
      </x:c>
      <x:c r="M619" s="112" t="str">
        <x:v>제목의 펌/퍼옴 표시</x:v>
      </x:c>
      <x:c r="N619" s="116" t="str">
        <x:v>https://gall.dcinside.com/mgallery/board/view/?id=tgijjdd&amp;no=135333&amp;exception_mode=recommend&amp;page=1</x:v>
      </x:c>
      <x:c r="O619" s="116" t="str">
        <x:v>https://m.blog.naver.com/sntu2010/221519502574</x:v>
      </x:c>
      <x:c r="P619" s="112" t="str">
        <x:v>예</x:v>
      </x:c>
      <x:c r="Q619" s="113" t="str">
        <x:v>자동 분류·표본 검토 대상</x:v>
      </x:c>
    </x:row>
    <x:row r="620">
      <x:c r="A620" s="100" t="n">
        <x:v>619</x:v>
      </x:c>
      <x:c r="B620" s="101" t="n">
        <x:v>43576</x:v>
      </x:c>
      <x:c r="C620" s="102" t="n">
        <x:v>2019</x:v>
      </x:c>
      <x:c r="D620" s="103" t="str">
        <x:v>ID-221519320747</x:v>
      </x:c>
      <x:c r="E620" s="112" t="str">
        <x:v>BJ대마도사(디다트)를 분석해서 소설을 설계하고 글을 써보자!</x:v>
      </x:c>
      <x:c r="F620" s="112" t="str">
        <x:v>웹소생각</x:v>
      </x:c>
      <x:c r="G620" s="112" t="str">
        <x:v>웹소설 직접</x:v>
      </x:c>
      <x:c r="H620" s="112" t="str">
        <x:v>캐릭터·전개</x:v>
      </x:c>
      <x:c r="I620" s="112" t="n">
        <x:v>8</x:v>
      </x:c>
      <x:c r="J620" s="112" t="str">
        <x:v>캐릭터, 주인공, 에피소드, 조연</x:v>
      </x:c>
      <x:c r="K620" s="112" t="str">
        <x:v>본인 작성/의견 추정</x:v>
      </x:c>
      <x:c r="L620" s="112" t="str">
        <x:v>낮음</x:v>
      </x:c>
      <x:c r="M620" s="112" t="str">
        <x:v>재게시 표시는 없으나 저자성 직접 증거 부족</x:v>
      </x:c>
      <x:c r="N620" s="116" t="str"/>
      <x:c r="O620" s="116" t="str">
        <x:v>https://m.blog.naver.com/sntu2010/221519320747</x:v>
      </x:c>
      <x:c r="P620" s="112" t="str">
        <x:v>예</x:v>
      </x:c>
      <x:c r="Q620" s="113" t="str">
        <x:v>자동 분류·표본 검토 대상</x:v>
      </x:c>
    </x:row>
    <x:row r="621">
      <x:c r="A621" s="100" t="n">
        <x:v>620</x:v>
      </x:c>
      <x:c r="B621" s="101" t="n">
        <x:v>43573</x:v>
      </x:c>
      <x:c r="C621" s="102" t="n">
        <x:v>2019</x:v>
      </x:c>
      <x:c r="D621" s="103" t="str">
        <x:v>ID-221517222388</x:v>
      </x:c>
      <x:c r="E621" s="112" t="str">
        <x:v>[펌]지나가다 남기는 팁글</x:v>
      </x:c>
      <x:c r="F621" s="112" t="str">
        <x:v>웹소작법</x:v>
      </x:c>
      <x:c r="G621" s="112" t="str">
        <x:v>웹소설 직접</x:v>
      </x:c>
      <x:c r="H621" s="112" t="str">
        <x:v>작법·상업성</x:v>
      </x:c>
      <x:c r="I621" s="112" t="n">
        <x:v>8</x:v>
      </x:c>
      <x:c r="J621" s="112" t="str">
        <x:v>독자, 재미, 소재, 작법</x:v>
      </x:c>
      <x:c r="K621" s="112" t="str">
        <x:v>재게시</x:v>
      </x:c>
      <x:c r="L621" s="112" t="str">
        <x:v>높음</x:v>
      </x:c>
      <x:c r="M621" s="112" t="str">
        <x:v>제목의 펌/퍼옴 표시</x:v>
      </x:c>
      <x:c r="N621" s="116" t="str">
        <x:v>https://m.dcinside.com/board/tgijjdd/134403?recommend=1</x:v>
      </x:c>
      <x:c r="O621" s="116" t="str">
        <x:v>https://m.blog.naver.com/sntu2010/221517222388</x:v>
      </x:c>
      <x:c r="P621" s="112" t="str">
        <x:v>예</x:v>
      </x:c>
      <x:c r="Q621" s="113" t="str">
        <x:v>자동 분류·표본 검토 대상</x:v>
      </x:c>
    </x:row>
    <x:row r="622">
      <x:c r="A622" s="100" t="n">
        <x:v>621</x:v>
      </x:c>
      <x:c r="B622" s="101" t="n">
        <x:v>43572</x:v>
      </x:c>
      <x:c r="C622" s="102" t="n">
        <x:v>2019</x:v>
      </x:c>
      <x:c r="D622" s="103" t="str">
        <x:v>ID-221515620250</x:v>
      </x:c>
      <x:c r="E622" s="112" t="str">
        <x:v>[펌]웹소설과 라노벨의 차이</x:v>
      </x:c>
      <x:c r="F622" s="112" t="str">
        <x:v>웹소작법</x:v>
      </x:c>
      <x:c r="G622" s="112" t="str">
        <x:v>웹소설 직접</x:v>
      </x:c>
      <x:c r="H622" s="112" t="str">
        <x:v>캐릭터·전개</x:v>
      </x:c>
      <x:c r="I622" s="112" t="n">
        <x:v>6</x:v>
      </x:c>
      <x:c r="J622" s="112" t="str">
        <x:v>서사, 주인공, 캐릭터, 인물, 관계</x:v>
      </x:c>
      <x:c r="K622" s="112" t="str">
        <x:v>재게시</x:v>
      </x:c>
      <x:c r="L622" s="112" t="str">
        <x:v>높음</x:v>
      </x:c>
      <x:c r="M622" s="112" t="str">
        <x:v>제목의 펌/퍼옴 표시</x:v>
      </x:c>
      <x:c r="N622" s="116" t="str">
        <x:v>https://gall.dcinside.com/mgallery/board/view/?id=tgijjdd&amp;no=133541&amp;exception_mode=recommend&amp;page=1</x:v>
      </x:c>
      <x:c r="O622" s="116" t="str">
        <x:v>https://m.blog.naver.com/sntu2010/221515620250</x:v>
      </x:c>
      <x:c r="P622" s="112" t="str">
        <x:v>예</x:v>
      </x:c>
      <x:c r="Q622" s="113" t="str">
        <x:v>자동 분류·표본 검토 대상</x:v>
      </x:c>
    </x:row>
    <x:row r="623">
      <x:c r="A623" s="100" t="n">
        <x:v>622</x:v>
      </x:c>
      <x:c r="B623" s="101" t="n">
        <x:v>43571</x:v>
      </x:c>
      <x:c r="C623" s="102" t="n">
        <x:v>2019</x:v>
      </x:c>
      <x:c r="D623" s="103" t="str">
        <x:v>ID-221515344139</x:v>
      </x:c>
      <x:c r="E623" s="112" t="str">
        <x:v>웹소설을 써서 돈을 벌려면 어디에 올려야 할까?</x:v>
      </x:c>
      <x:c r="F623" s="112" t="str">
        <x:v>웹소생각</x:v>
      </x:c>
      <x:c r="G623" s="112" t="str">
        <x:v>웹소설 직접</x:v>
      </x:c>
      <x:c r="H623" s="112" t="str">
        <x:v>플랫폼·투고·계약</x:v>
      </x:c>
      <x:c r="I623" s="112" t="n">
        <x:v>3</x:v>
      </x:c>
      <x:c r="J623" s="112" t="str">
        <x:v>조아라</x:v>
      </x:c>
      <x:c r="K623" s="112" t="str">
        <x:v>본인 작성/의견 추정</x:v>
      </x:c>
      <x:c r="L623" s="112" t="str">
        <x:v>낮음</x:v>
      </x:c>
      <x:c r="M623" s="112" t="str">
        <x:v>재게시 표시는 없으나 저자성 직접 증거 부족</x:v>
      </x:c>
      <x:c r="N623" s="116" t="str"/>
      <x:c r="O623" s="116" t="str">
        <x:v>https://m.blog.naver.com/sntu2010/221515344139</x:v>
      </x:c>
      <x:c r="P623" s="112" t="str">
        <x:v>아니오</x:v>
      </x:c>
      <x:c r="Q623" s="113" t="str">
        <x:v>자동 분류·표본 검토 대상</x:v>
      </x:c>
    </x:row>
    <x:row r="624">
      <x:c r="A624" s="100" t="n">
        <x:v>623</x:v>
      </x:c>
      <x:c r="B624" s="101" t="n">
        <x:v>43571</x:v>
      </x:c>
      <x:c r="C624" s="102" t="n">
        <x:v>2019</x:v>
      </x:c>
      <x:c r="D624" s="103" t="str">
        <x:v>ID-221514861724</x:v>
      </x:c>
      <x:c r="E624" s="112" t="str">
        <x:v>R작가님에게 바치는 글 '판타지 소설 쓰는 법'</x:v>
      </x:c>
      <x:c r="F624" s="112" t="str">
        <x:v>웹소생각</x:v>
      </x:c>
      <x:c r="G624" s="112" t="str">
        <x:v>웹소설 직접</x:v>
      </x:c>
      <x:c r="H624" s="112" t="str">
        <x:v>작법·상업성</x:v>
      </x:c>
      <x:c r="I624" s="112" t="n">
        <x:v>2</x:v>
      </x:c>
      <x:c r="J624" s="112" t="str">
        <x:v>장르</x:v>
      </x:c>
      <x:c r="K624" s="112" t="str">
        <x:v>본인 작성/의견 추정</x:v>
      </x:c>
      <x:c r="L624" s="112" t="str">
        <x:v>낮음</x:v>
      </x:c>
      <x:c r="M624" s="112" t="str">
        <x:v>재게시 표시는 없으나 저자성 직접 증거 부족</x:v>
      </x:c>
      <x:c r="N624" s="116" t="str"/>
      <x:c r="O624" s="116" t="str">
        <x:v>https://m.blog.naver.com/sntu2010/221514861724</x:v>
      </x:c>
      <x:c r="P624" s="112" t="str">
        <x:v>아니오</x:v>
      </x:c>
      <x:c r="Q624" s="113" t="str">
        <x:v>수동 검토 필요</x:v>
      </x:c>
    </x:row>
    <x:row r="625">
      <x:c r="A625" s="100" t="n">
        <x:v>624</x:v>
      </x:c>
      <x:c r="B625" s="101" t="n">
        <x:v>43570</x:v>
      </x:c>
      <x:c r="C625" s="102" t="n">
        <x:v>2019</x:v>
      </x:c>
      <x:c r="D625" s="103" t="str">
        <x:v>ID-221514292445</x:v>
      </x:c>
      <x:c r="E625" s="112" t="str">
        <x:v>[펌]달빛조각사 남희성 작가님이 말해주는 웹소설 시장 이야기</x:v>
      </x:c>
      <x:c r="F625" s="112" t="str">
        <x:v>웹소작법</x:v>
      </x:c>
      <x:c r="G625" s="112" t="str">
        <x:v>웹소설 직접</x:v>
      </x:c>
      <x:c r="H625" s="112" t="str">
        <x:v>작법·상업성</x:v>
      </x:c>
      <x:c r="I625" s="112" t="n">
        <x:v>2</x:v>
      </x:c>
      <x:c r="J625" s="112" t="str">
        <x:v>흥행, 작법</x:v>
      </x:c>
      <x:c r="K625" s="112" t="str">
        <x:v>재게시</x:v>
      </x:c>
      <x:c r="L625" s="112" t="str">
        <x:v>높음</x:v>
      </x:c>
      <x:c r="M625" s="112" t="str">
        <x:v>제목의 펌/퍼옴 표시</x:v>
      </x:c>
      <x:c r="N625" s="116" t="str">
        <x:v>https://gall.dcinside.com/mgallery/board/view/?id=tgijjdd&amp;no=132030&amp;exception_mode=recommend&amp;page=1</x:v>
      </x:c>
      <x:c r="O625" s="116" t="str">
        <x:v>https://m.blog.naver.com/sntu2010/221514292445</x:v>
      </x:c>
      <x:c r="P625" s="112" t="str">
        <x:v>아니오</x:v>
      </x:c>
      <x:c r="Q625" s="113" t="str">
        <x:v>자동 분류·표본 검토 대상</x:v>
      </x:c>
    </x:row>
    <x:row r="626">
      <x:c r="A626" s="100" t="n">
        <x:v>625</x:v>
      </x:c>
      <x:c r="B626" s="101" t="n">
        <x:v>43569</x:v>
      </x:c>
      <x:c r="C626" s="102" t="n">
        <x:v>2019</x:v>
      </x:c>
      <x:c r="D626" s="103" t="str">
        <x:v>ID-221513768138</x:v>
      </x:c>
      <x:c r="E626" s="112" t="str">
        <x:v>[펌]웹소설 장기연재 팁 준다</x:v>
      </x:c>
      <x:c r="F626" s="112" t="str">
        <x:v>웹소작법</x:v>
      </x:c>
      <x:c r="G626" s="112" t="str">
        <x:v>웹소설 직접</x:v>
      </x:c>
      <x:c r="H626" s="112" t="str">
        <x:v>작법·상업성</x:v>
      </x:c>
      <x:c r="I626" s="112" t="n">
        <x:v>1</x:v>
      </x:c>
      <x:c r="J626" s="112" t="str">
        <x:v>작법</x:v>
      </x:c>
      <x:c r="K626" s="112" t="str">
        <x:v>재게시</x:v>
      </x:c>
      <x:c r="L626" s="112" t="str">
        <x:v>높음</x:v>
      </x:c>
      <x:c r="M626" s="112" t="str">
        <x:v>제목의 펌/퍼옴 표시</x:v>
      </x:c>
      <x:c r="N626" s="116" t="str">
        <x:v>https://gall.dcinside.com/mgallery/board/view/?id=tgijjdd&amp;no=132497&amp;exception_mode=recommend&amp;page=1</x:v>
      </x:c>
      <x:c r="O626" s="116" t="str">
        <x:v>https://m.blog.naver.com/sntu2010/221513768138</x:v>
      </x:c>
      <x:c r="P626" s="112" t="str">
        <x:v>아니오</x:v>
      </x:c>
      <x:c r="Q626" s="113" t="str">
        <x:v>자동 분류·표본 검토 대상</x:v>
      </x:c>
    </x:row>
    <x:row r="627">
      <x:c r="A627" s="100" t="n">
        <x:v>626</x:v>
      </x:c>
      <x:c r="B627" s="101" t="n">
        <x:v>43569</x:v>
      </x:c>
      <x:c r="C627" s="102" t="n">
        <x:v>2019</x:v>
      </x:c>
      <x:c r="D627" s="103" t="str">
        <x:v>ID-221513767338</x:v>
      </x:c>
      <x:c r="E627" s="112" t="str">
        <x:v>[펌]인물의 대사에 대하여</x:v>
      </x:c>
      <x:c r="F627" s="112" t="str">
        <x:v>웹소작법</x:v>
      </x:c>
      <x:c r="G627" s="112" t="str">
        <x:v>웹소설 직접</x:v>
      </x:c>
      <x:c r="H627" s="112" t="str">
        <x:v>캐릭터·전개</x:v>
      </x:c>
      <x:c r="I627" s="112" t="n">
        <x:v>40</x:v>
      </x:c>
      <x:c r="J627" s="112" t="str">
        <x:v>인물, 대사</x:v>
      </x:c>
      <x:c r="K627" s="112" t="str">
        <x:v>재게시</x:v>
      </x:c>
      <x:c r="L627" s="112" t="str">
        <x:v>높음</x:v>
      </x:c>
      <x:c r="M627" s="112" t="str">
        <x:v>제목의 펌/퍼옴 표시</x:v>
      </x:c>
      <x:c r="N627" s="116" t="str">
        <x:v>https://gall.dcinside.com/mgallery/board/view/?id=tgijjdd&amp;no=132488&amp;exception_mode=recommend&amp;page=1</x:v>
      </x:c>
      <x:c r="O627" s="116" t="str">
        <x:v>https://m.blog.naver.com/sntu2010/221513767338</x:v>
      </x:c>
      <x:c r="P627" s="112" t="str">
        <x:v>예</x:v>
      </x:c>
      <x:c r="Q627" s="113" t="str">
        <x:v>자동 분류·표본 검토 대상</x:v>
      </x:c>
    </x:row>
    <x:row r="628">
      <x:c r="A628" s="100" t="n">
        <x:v>627</x:v>
      </x:c>
      <x:c r="B628" s="101" t="n">
        <x:v>43569</x:v>
      </x:c>
      <x:c r="C628" s="102" t="n">
        <x:v>2019</x:v>
      </x:c>
      <x:c r="D628" s="103" t="str">
        <x:v>ID-221513766085</x:v>
      </x:c>
      <x:c r="E628" s="112" t="str">
        <x:v>[펌]문피아 연재를 도전하시는 분들을 위한 문피아의 모든 것</x:v>
      </x:c>
      <x:c r="F628" s="112" t="str">
        <x:v>웹소작법</x:v>
      </x:c>
      <x:c r="G628" s="112" t="str">
        <x:v>웹소설 직접</x:v>
      </x:c>
      <x:c r="H628" s="112" t="str">
        <x:v>플랫폼·투고·계약</x:v>
      </x:c>
      <x:c r="I628" s="112" t="n">
        <x:v>46</x:v>
      </x:c>
      <x:c r="J628" s="112" t="str">
        <x:v>문피아, 공모전</x:v>
      </x:c>
      <x:c r="K628" s="112" t="str">
        <x:v>재게시</x:v>
      </x:c>
      <x:c r="L628" s="112" t="str">
        <x:v>높음</x:v>
      </x:c>
      <x:c r="M628" s="112" t="str">
        <x:v>제목의 펌/퍼옴 표시</x:v>
      </x:c>
      <x:c r="N628" s="116" t="str">
        <x:v>https://gall.dcinside.com/mgallery/board/view/?id=tgijjdd&amp;no=132104&amp;exception_mode=recommend&amp;page=1</x:v>
      </x:c>
      <x:c r="O628" s="116" t="str">
        <x:v>https://m.blog.naver.com/sntu2010/221513766085</x:v>
      </x:c>
      <x:c r="P628" s="112" t="str">
        <x:v>예</x:v>
      </x:c>
      <x:c r="Q628" s="113" t="str">
        <x:v>자동 분류·표본 검토 대상</x:v>
      </x:c>
    </x:row>
    <x:row r="629">
      <x:c r="A629" s="100" t="n">
        <x:v>628</x:v>
      </x:c>
      <x:c r="B629" s="101" t="n">
        <x:v>43569</x:v>
      </x:c>
      <x:c r="C629" s="102" t="n">
        <x:v>2019</x:v>
      </x:c>
      <x:c r="D629" s="103" t="str">
        <x:v>ID-221513764940</x:v>
      </x:c>
      <x:c r="E629" s="112" t="str">
        <x:v>[펌]한 화에 매번 들어가도 OK인 요소 4가지</x:v>
      </x:c>
      <x:c r="F629" s="112" t="str">
        <x:v>웹소작법</x:v>
      </x:c>
      <x:c r="G629" s="112" t="str">
        <x:v>웹소설 직접</x:v>
      </x:c>
      <x:c r="H629" s="112" t="str">
        <x:v>캐릭터·전개</x:v>
      </x:c>
      <x:c r="I629" s="112" t="n">
        <x:v>6</x:v>
      </x:c>
      <x:c r="J629" s="112" t="str">
        <x:v>주인공, 대사, 사건</x:v>
      </x:c>
      <x:c r="K629" s="112" t="str">
        <x:v>재게시</x:v>
      </x:c>
      <x:c r="L629" s="112" t="str">
        <x:v>높음</x:v>
      </x:c>
      <x:c r="M629" s="112" t="str">
        <x:v>제목의 펌/퍼옴 표시</x:v>
      </x:c>
      <x:c r="N629" s="116" t="str">
        <x:v>https://gall.dcinside.com/mgallery/board/view/?id=tgijjdd&amp;no=129313&amp;exception_mode=recommend&amp;page=1</x:v>
      </x:c>
      <x:c r="O629" s="116" t="str">
        <x:v>https://m.blog.naver.com/sntu2010/221513764940</x:v>
      </x:c>
      <x:c r="P629" s="112" t="str">
        <x:v>예</x:v>
      </x:c>
      <x:c r="Q629" s="113" t="str">
        <x:v>자동 분류·표본 검토 대상</x:v>
      </x:c>
    </x:row>
    <x:row r="630">
      <x:c r="A630" s="100" t="n">
        <x:v>629</x:v>
      </x:c>
      <x:c r="B630" s="101" t="n">
        <x:v>43569</x:v>
      </x:c>
      <x:c r="C630" s="102" t="n">
        <x:v>2019</x:v>
      </x:c>
      <x:c r="D630" s="103" t="str">
        <x:v>ID-221513764674</x:v>
      </x:c>
      <x:c r="E630" s="112" t="str">
        <x:v>[펌]웹소 체크리스트 모음</x:v>
      </x:c>
      <x:c r="F630" s="112" t="str">
        <x:v>웹소작법</x:v>
      </x:c>
      <x:c r="G630" s="112" t="str">
        <x:v>웹소설 직접</x:v>
      </x:c>
      <x:c r="H630" s="112" t="str">
        <x:v>캐릭터·전개</x:v>
      </x:c>
      <x:c r="I630" s="112" t="n">
        <x:v>8</x:v>
      </x:c>
      <x:c r="J630" s="112" t="str">
        <x:v>주인공, 캐릭터, 플롯, 관계</x:v>
      </x:c>
      <x:c r="K630" s="112" t="str">
        <x:v>재게시</x:v>
      </x:c>
      <x:c r="L630" s="112" t="str">
        <x:v>높음</x:v>
      </x:c>
      <x:c r="M630" s="112" t="str">
        <x:v>제목의 펌/퍼옴 표시</x:v>
      </x:c>
      <x:c r="N630" s="116" t="str">
        <x:v>https://gall.dcinside.com/mgallery/board/view/?id=tgijjdd&amp;no=132364&amp;exception_mode=recommend&amp;page=1</x:v>
      </x:c>
      <x:c r="O630" s="116" t="str">
        <x:v>https://m.blog.naver.com/sntu2010/221513764674</x:v>
      </x:c>
      <x:c r="P630" s="112" t="str">
        <x:v>예</x:v>
      </x:c>
      <x:c r="Q630" s="113" t="str">
        <x:v>자동 분류·표본 검토 대상</x:v>
      </x:c>
    </x:row>
    <x:row r="631">
      <x:c r="A631" s="100" t="n">
        <x:v>630</x:v>
      </x:c>
      <x:c r="B631" s="101" t="n">
        <x:v>43566</x:v>
      </x:c>
      <x:c r="C631" s="102" t="n">
        <x:v>2019</x:v>
      </x:c>
      <x:c r="D631" s="103" t="str">
        <x:v>ID-221511637334</x:v>
      </x:c>
      <x:c r="E631" s="112" t="str">
        <x:v>글 쓸 때 집중력 향상 시켜주는 ASMR</x:v>
      </x:c>
      <x:c r="F631" s="112" t="str">
        <x:v>웹소생각</x:v>
      </x:c>
      <x:c r="G631" s="112" t="str">
        <x:v>웹소설 직접</x:v>
      </x:c>
      <x:c r="H631" s="112" t="str">
        <x:v>기타/검토</x:v>
      </x:c>
      <x:c r="I631" s="112" t="n">
        <x:v>0</x:v>
      </x:c>
      <x:c r="J631" s="112" t="str"/>
      <x:c r="K631" s="112" t="str">
        <x:v>외부자료 소개/재가공</x:v>
      </x:c>
      <x:c r="L631" s="112" t="str">
        <x:v>중간</x:v>
      </x:c>
      <x:c r="M631" s="112" t="str">
        <x:v>본문 앞부분의 외부 출처 URL</x:v>
      </x:c>
      <x:c r="N631" s="116" t="str">
        <x:v>https://www.youtube.com/watch?v=X66fLliWRgg&amp;list=WL&amp;index=31&amp;t=0s</x:v>
      </x:c>
      <x:c r="O631" s="116" t="str">
        <x:v>https://m.blog.naver.com/sntu2010/221511637334</x:v>
      </x:c>
      <x:c r="P631" s="112" t="str">
        <x:v>아니오</x:v>
      </x:c>
      <x:c r="Q631" s="113" t="str">
        <x:v>수동 검토 필요</x:v>
      </x:c>
    </x:row>
    <x:row r="632">
      <x:c r="A632" s="100" t="n">
        <x:v>631</x:v>
      </x:c>
      <x:c r="B632" s="101" t="n">
        <x:v>43565</x:v>
      </x:c>
      <x:c r="C632" s="102" t="n">
        <x:v>2019</x:v>
      </x:c>
      <x:c r="D632" s="103" t="str">
        <x:v>ID-221510779828</x:v>
      </x:c>
      <x:c r="E632" s="112" t="str">
        <x:v>그림은 재능이 아닌 기술직이다</x:v>
      </x:c>
      <x:c r="F632" s="112" t="str">
        <x:v>웹툰생각</x:v>
      </x:c>
      <x:c r="G632" s="112" t="str">
        <x:v>웹툰 참고</x:v>
      </x:c>
      <x:c r="H632" s="112" t="str">
        <x:v>기타/검토</x:v>
      </x:c>
      <x:c r="I632" s="112" t="n">
        <x:v>0</x:v>
      </x:c>
      <x:c r="J632" s="112" t="str"/>
      <x:c r="K632" s="112" t="str">
        <x:v>본인 경험담 추정</x:v>
      </x:c>
      <x:c r="L632" s="112" t="str">
        <x:v>중간</x:v>
      </x:c>
      <x:c r="M632" s="112" t="str">
        <x:v>1인칭 경험·작품·계약 표현</x:v>
      </x:c>
      <x:c r="N632" s="116" t="str"/>
      <x:c r="O632" s="116" t="str">
        <x:v>https://m.blog.naver.com/sntu2010/221510779828</x:v>
      </x:c>
      <x:c r="P632" s="112" t="str">
        <x:v>아니오</x:v>
      </x:c>
      <x:c r="Q632" s="113" t="str">
        <x:v>수동 검토 필요</x:v>
      </x:c>
    </x:row>
    <x:row r="633">
      <x:c r="A633" s="100" t="n">
        <x:v>632</x:v>
      </x:c>
      <x:c r="B633" s="101" t="n">
        <x:v>43565</x:v>
      </x:c>
      <x:c r="C633" s="102" t="n">
        <x:v>2019</x:v>
      </x:c>
      <x:c r="D633" s="103" t="str">
        <x:v>ID-221510772143</x:v>
      </x:c>
      <x:c r="E633" s="112" t="str">
        <x:v>[펌]명암 넣기</x:v>
      </x:c>
      <x:c r="F633" s="112" t="str">
        <x:v>웹툰작법</x:v>
      </x:c>
      <x:c r="G633" s="112" t="str">
        <x:v>웹툰 참고</x:v>
      </x:c>
      <x:c r="H633" s="112" t="str">
        <x:v>작법·상업성</x:v>
      </x:c>
      <x:c r="I633" s="112" t="n">
        <x:v>1</x:v>
      </x:c>
      <x:c r="J633" s="112" t="str">
        <x:v>작법</x:v>
      </x:c>
      <x:c r="K633" s="112" t="str">
        <x:v>재게시</x:v>
      </x:c>
      <x:c r="L633" s="112" t="str">
        <x:v>높음</x:v>
      </x:c>
      <x:c r="M633" s="112" t="str">
        <x:v>제목의 펌/퍼옴 표시</x:v>
      </x:c>
      <x:c r="N633" s="116" t="str">
        <x:v>https://gall.dcinside.com/board/view/?id=cartoon_s&amp;no=265491&amp;search_pos=-257112&amp;s_type=search_name&amp;s_keyword=Bose.&amp;page=1</x:v>
      </x:c>
      <x:c r="O633" s="116" t="str">
        <x:v>https://m.blog.naver.com/sntu2010/221510772143</x:v>
      </x:c>
      <x:c r="P633" s="112" t="str">
        <x:v>아니오</x:v>
      </x:c>
      <x:c r="Q633" s="113" t="str">
        <x:v>자동 분류·표본 검토 대상</x:v>
      </x:c>
    </x:row>
    <x:row r="634">
      <x:c r="A634" s="100" t="n">
        <x:v>633</x:v>
      </x:c>
      <x:c r="B634" s="101" t="n">
        <x:v>43565</x:v>
      </x:c>
      <x:c r="C634" s="102" t="n">
        <x:v>2019</x:v>
      </x:c>
      <x:c r="D634" s="103" t="str">
        <x:v>ID-221510770130</x:v>
      </x:c>
      <x:c r="E634" s="112" t="str">
        <x:v>[펌]WLOP 모작 채색편</x:v>
      </x:c>
      <x:c r="F634" s="112" t="str">
        <x:v>웹툰작법</x:v>
      </x:c>
      <x:c r="G634" s="112" t="str">
        <x:v>웹툰 참고</x:v>
      </x:c>
      <x:c r="H634" s="112" t="str">
        <x:v>작법·상업성</x:v>
      </x:c>
      <x:c r="I634" s="112" t="n">
        <x:v>1</x:v>
      </x:c>
      <x:c r="J634" s="112" t="str">
        <x:v>작법</x:v>
      </x:c>
      <x:c r="K634" s="112" t="str">
        <x:v>재게시</x:v>
      </x:c>
      <x:c r="L634" s="112" t="str">
        <x:v>높음</x:v>
      </x:c>
      <x:c r="M634" s="112" t="str">
        <x:v>제목의 펌/퍼옴 표시</x:v>
      </x:c>
      <x:c r="N634" s="116" t="str">
        <x:v>https://gall.dcinside.com/board/view/?id=cartoon_s&amp;no=262575</x:v>
      </x:c>
      <x:c r="O634" s="116" t="str">
        <x:v>https://m.blog.naver.com/sntu2010/221510770130</x:v>
      </x:c>
      <x:c r="P634" s="112" t="str">
        <x:v>아니오</x:v>
      </x:c>
      <x:c r="Q634" s="113" t="str">
        <x:v>자동 분류·표본 검토 대상</x:v>
      </x:c>
    </x:row>
    <x:row r="635">
      <x:c r="A635" s="100" t="n">
        <x:v>634</x:v>
      </x:c>
      <x:c r="B635" s="101" t="n">
        <x:v>43565</x:v>
      </x:c>
      <x:c r="C635" s="102" t="n">
        <x:v>2019</x:v>
      </x:c>
      <x:c r="D635" s="103" t="str">
        <x:v>ID-221510769013</x:v>
      </x:c>
      <x:c r="E635" s="112" t="str">
        <x:v>[펌]WLOP 모작 형태편</x:v>
      </x:c>
      <x:c r="F635" s="112" t="str">
        <x:v>웹툰작법</x:v>
      </x:c>
      <x:c r="G635" s="112" t="str">
        <x:v>웹툰 참고</x:v>
      </x:c>
      <x:c r="H635" s="112" t="str">
        <x:v>작법·상업성</x:v>
      </x:c>
      <x:c r="I635" s="112" t="n">
        <x:v>1</x:v>
      </x:c>
      <x:c r="J635" s="112" t="str">
        <x:v>작법</x:v>
      </x:c>
      <x:c r="K635" s="112" t="str">
        <x:v>재게시</x:v>
      </x:c>
      <x:c r="L635" s="112" t="str">
        <x:v>높음</x:v>
      </x:c>
      <x:c r="M635" s="112" t="str">
        <x:v>제목의 펌/퍼옴 표시</x:v>
      </x:c>
      <x:c r="N635" s="116" t="str">
        <x:v>https://gall.dcinside.com/board/view/?id=cartoon_s&amp;no=262530&amp;search_pos=-257112&amp;s_type=search_name&amp;s_keyword=Bose.&amp;page=1</x:v>
      </x:c>
      <x:c r="O635" s="116" t="str">
        <x:v>https://m.blog.naver.com/sntu2010/221510769013</x:v>
      </x:c>
      <x:c r="P635" s="112" t="str">
        <x:v>아니오</x:v>
      </x:c>
      <x:c r="Q635" s="113" t="str">
        <x:v>자동 분류·표본 검토 대상</x:v>
      </x:c>
    </x:row>
    <x:row r="636">
      <x:c r="A636" s="100" t="n">
        <x:v>635</x:v>
      </x:c>
      <x:c r="B636" s="101" t="n">
        <x:v>43565</x:v>
      </x:c>
      <x:c r="C636" s="102" t="n">
        <x:v>2019</x:v>
      </x:c>
      <x:c r="D636" s="103" t="str">
        <x:v>ID-221510540354</x:v>
      </x:c>
      <x:c r="E636" s="112" t="str">
        <x:v>[펌]글레이징기법을 배워보자!</x:v>
      </x:c>
      <x:c r="F636" s="112" t="str">
        <x:v>웹툰작법</x:v>
      </x:c>
      <x:c r="G636" s="112" t="str">
        <x:v>웹툰 참고</x:v>
      </x:c>
      <x:c r="H636" s="112" t="str">
        <x:v>작법·상업성</x:v>
      </x:c>
      <x:c r="I636" s="112" t="n">
        <x:v>1</x:v>
      </x:c>
      <x:c r="J636" s="112" t="str">
        <x:v>작법</x:v>
      </x:c>
      <x:c r="K636" s="112" t="str">
        <x:v>재게시</x:v>
      </x:c>
      <x:c r="L636" s="112" t="str">
        <x:v>높음</x:v>
      </x:c>
      <x:c r="M636" s="112" t="str">
        <x:v>제목의 펌/퍼옴 표시</x:v>
      </x:c>
      <x:c r="N636" s="116" t="str">
        <x:v>http://bbs.ruliweb.com/family/212/board/300069/read/30555318?search_type=member_srl&amp;search_key=4908079</x:v>
      </x:c>
      <x:c r="O636" s="116" t="str">
        <x:v>https://m.blog.naver.com/sntu2010/221510540354</x:v>
      </x:c>
      <x:c r="P636" s="112" t="str">
        <x:v>아니오</x:v>
      </x:c>
      <x:c r="Q636" s="113" t="str">
        <x:v>자동 분류·표본 검토 대상</x:v>
      </x:c>
    </x:row>
    <x:row r="637">
      <x:c r="A637" s="100" t="n">
        <x:v>636</x:v>
      </x:c>
      <x:c r="B637" s="101" t="n">
        <x:v>43565</x:v>
      </x:c>
      <x:c r="C637" s="102" t="n">
        <x:v>2019</x:v>
      </x:c>
      <x:c r="D637" s="103" t="str">
        <x:v>ID-221510539191</x:v>
      </x:c>
      <x:c r="E637" s="112" t="str">
        <x:v>[펌]캐릭터 일러스트 그리기 진행과정</x:v>
      </x:c>
      <x:c r="F637" s="112" t="str">
        <x:v>웹툰작법</x:v>
      </x:c>
      <x:c r="G637" s="112" t="str">
        <x:v>웹툰 참고</x:v>
      </x:c>
      <x:c r="H637" s="112" t="str">
        <x:v>캐릭터·전개</x:v>
      </x:c>
      <x:c r="I637" s="112" t="n">
        <x:v>20</x:v>
      </x:c>
      <x:c r="J637" s="112" t="str">
        <x:v>캐릭터</x:v>
      </x:c>
      <x:c r="K637" s="112" t="str">
        <x:v>재게시</x:v>
      </x:c>
      <x:c r="L637" s="112" t="str">
        <x:v>높음</x:v>
      </x:c>
      <x:c r="M637" s="112" t="str">
        <x:v>제목의 펌/퍼옴 표시</x:v>
      </x:c>
      <x:c r="N637" s="116" t="str">
        <x:v>http://bbs.ruliweb.com/family/212/board/300069/read/30555319?search_type=member_srl&amp;search_key=4908079</x:v>
      </x:c>
      <x:c r="O637" s="116" t="str">
        <x:v>https://m.blog.naver.com/sntu2010/221510539191</x:v>
      </x:c>
      <x:c r="P637" s="112" t="str">
        <x:v>아니오</x:v>
      </x:c>
      <x:c r="Q637" s="113" t="str">
        <x:v>자동 분류·표본 검토 대상</x:v>
      </x:c>
    </x:row>
    <x:row r="638">
      <x:c r="A638" s="100" t="n">
        <x:v>637</x:v>
      </x:c>
      <x:c r="B638" s="101" t="n">
        <x:v>43564</x:v>
      </x:c>
      <x:c r="C638" s="102" t="n">
        <x:v>2019</x:v>
      </x:c>
      <x:c r="D638" s="103" t="str">
        <x:v>ID-221509462041</x:v>
      </x:c>
      <x:c r="E638" s="112" t="str">
        <x:v>[펌]판타지 사전 - 몬스터 간단 분류</x:v>
      </x:c>
      <x:c r="F638" s="112" t="str">
        <x:v>창작소재</x:v>
      </x:c>
      <x:c r="G638" s="112" t="str">
        <x:v>공통 창작소재</x:v>
      </x:c>
      <x:c r="H638" s="112" t="str">
        <x:v>작법·상업성</x:v>
      </x:c>
      <x:c r="I638" s="112" t="n">
        <x:v>2</x:v>
      </x:c>
      <x:c r="J638" s="112" t="str">
        <x:v>독자, 소재</x:v>
      </x:c>
      <x:c r="K638" s="112" t="str">
        <x:v>재게시</x:v>
      </x:c>
      <x:c r="L638" s="112" t="str">
        <x:v>높음</x:v>
      </x:c>
      <x:c r="M638" s="112" t="str">
        <x:v>제목의 펌/퍼옴 표시</x:v>
      </x:c>
      <x:c r="N638" s="116" t="str">
        <x:v>http://square.munpia.com/boPds_6/page/1/beSrl/775160</x:v>
      </x:c>
      <x:c r="O638" s="116" t="str">
        <x:v>https://m.blog.naver.com/sntu2010/221509462041</x:v>
      </x:c>
      <x:c r="P638" s="112" t="str">
        <x:v>아니오</x:v>
      </x:c>
      <x:c r="Q638" s="113" t="str">
        <x:v>자동 분류·표본 검토 대상</x:v>
      </x:c>
    </x:row>
    <x:row r="639">
      <x:c r="A639" s="100" t="n">
        <x:v>638</x:v>
      </x:c>
      <x:c r="B639" s="101" t="n">
        <x:v>43564</x:v>
      </x:c>
      <x:c r="C639" s="102" t="n">
        <x:v>2019</x:v>
      </x:c>
      <x:c r="D639" s="103" t="str">
        <x:v>ID-221509457730</x:v>
      </x:c>
      <x:c r="E639" s="112" t="str">
        <x:v>[펌]판타지 사전 - 신성 계열 마법 총 정리 편(미완)</x:v>
      </x:c>
      <x:c r="F639" s="112" t="str">
        <x:v>창작소재</x:v>
      </x:c>
      <x:c r="G639" s="112" t="str">
        <x:v>공통 창작소재</x:v>
      </x:c>
      <x:c r="H639" s="112" t="str">
        <x:v>작법·상업성</x:v>
      </x:c>
      <x:c r="I639" s="112" t="n">
        <x:v>2</x:v>
      </x:c>
      <x:c r="J639" s="112" t="str">
        <x:v>독자, 소재</x:v>
      </x:c>
      <x:c r="K639" s="112" t="str">
        <x:v>재게시</x:v>
      </x:c>
      <x:c r="L639" s="112" t="str">
        <x:v>높음</x:v>
      </x:c>
      <x:c r="M639" s="112" t="str">
        <x:v>제목의 펌/퍼옴 표시</x:v>
      </x:c>
      <x:c r="N639" s="116" t="str">
        <x:v>http://square.munpia.com/boPds_6/page/1/beSrl/877023</x:v>
      </x:c>
      <x:c r="O639" s="116" t="str">
        <x:v>https://m.blog.naver.com/sntu2010/221509457730</x:v>
      </x:c>
      <x:c r="P639" s="112" t="str">
        <x:v>아니오</x:v>
      </x:c>
      <x:c r="Q639" s="113" t="str">
        <x:v>자동 분류·표본 검토 대상</x:v>
      </x:c>
    </x:row>
    <x:row r="640">
      <x:c r="A640" s="100" t="n">
        <x:v>639</x:v>
      </x:c>
      <x:c r="B640" s="101" t="n">
        <x:v>43563</x:v>
      </x:c>
      <x:c r="C640" s="102" t="n">
        <x:v>2019</x:v>
      </x:c>
      <x:c r="D640" s="103" t="str">
        <x:v>ID-221508946684</x:v>
      </x:c>
      <x:c r="E640" s="112" t="str">
        <x:v>악플에 대처하는 10가지 자세</x:v>
      </x:c>
      <x:c r="F640" s="112" t="str">
        <x:v>웹소생각</x:v>
      </x:c>
      <x:c r="G640" s="112" t="str">
        <x:v>웹소설 직접</x:v>
      </x:c>
      <x:c r="H640" s="112" t="str">
        <x:v>플랫폼·투고·계약</x:v>
      </x:c>
      <x:c r="I640" s="112" t="n">
        <x:v>3</x:v>
      </x:c>
      <x:c r="J640" s="112" t="str">
        <x:v>문피아, 카카오</x:v>
      </x:c>
      <x:c r="K640" s="112" t="str">
        <x:v>본인 경험담 추정</x:v>
      </x:c>
      <x:c r="L640" s="112" t="str">
        <x:v>중간</x:v>
      </x:c>
      <x:c r="M640" s="112" t="str">
        <x:v>1인칭 경험·작품·계약 표현</x:v>
      </x:c>
      <x:c r="N640" s="116" t="str"/>
      <x:c r="O640" s="116" t="str">
        <x:v>https://m.blog.naver.com/sntu2010/221508946684</x:v>
      </x:c>
      <x:c r="P640" s="112" t="str">
        <x:v>아니오</x:v>
      </x:c>
      <x:c r="Q640" s="113" t="str">
        <x:v>자동 분류·표본 검토 대상</x:v>
      </x:c>
    </x:row>
    <x:row r="641">
      <x:c r="A641" s="100" t="n">
        <x:v>640</x:v>
      </x:c>
      <x:c r="B641" s="101" t="n">
        <x:v>43556</x:v>
      </x:c>
      <x:c r="C641" s="102" t="n">
        <x:v>2019</x:v>
      </x:c>
      <x:c r="D641" s="103" t="str">
        <x:v>ID-221502605925</x:v>
      </x:c>
      <x:c r="E641" s="112" t="str">
        <x:v>[펌]초보작가 지나가다가 팁 줌</x:v>
      </x:c>
      <x:c r="F641" s="112" t="str">
        <x:v>웹소작법</x:v>
      </x:c>
      <x:c r="G641" s="112" t="str">
        <x:v>웹소설 직접</x:v>
      </x:c>
      <x:c r="H641" s="112" t="str">
        <x:v>플랫폼·투고·계약</x:v>
      </x:c>
      <x:c r="I641" s="112" t="n">
        <x:v>6</x:v>
      </x:c>
      <x:c r="J641" s="112" t="str">
        <x:v>문피아, 매니지, 플랫폼</x:v>
      </x:c>
      <x:c r="K641" s="112" t="str">
        <x:v>재게시</x:v>
      </x:c>
      <x:c r="L641" s="112" t="str">
        <x:v>높음</x:v>
      </x:c>
      <x:c r="M641" s="112" t="str">
        <x:v>제목의 펌/퍼옴 표시</x:v>
      </x:c>
      <x:c r="N641" s="116" t="str">
        <x:v>https://gall.dcinside.com/mgallery/board/view/?id=tgijjdd&amp;no=105562&amp;search_pos=-107106&amp;s_type=search_all&amp;s_keyword=%EB%AC%B8%ED%94%BC%EC%95%84+%EC%9C%A0%EB%A3%8C&amp;page=1</x:v>
      </x:c>
      <x:c r="O641" s="116" t="str">
        <x:v>https://m.blog.naver.com/sntu2010/221502605925</x:v>
      </x:c>
      <x:c r="P641" s="112" t="str">
        <x:v>예</x:v>
      </x:c>
      <x:c r="Q641" s="113" t="str">
        <x:v>자동 분류·표본 검토 대상</x:v>
      </x:c>
    </x:row>
    <x:row r="642">
      <x:c r="A642" s="100" t="n">
        <x:v>641</x:v>
      </x:c>
      <x:c r="B642" s="101" t="n">
        <x:v>43556</x:v>
      </x:c>
      <x:c r="C642" s="102" t="n">
        <x:v>2019</x:v>
      </x:c>
      <x:c r="D642" s="103" t="str">
        <x:v>ID-221502591165</x:v>
      </x:c>
      <x:c r="E642" s="112" t="str">
        <x:v>문피아 유료전환에 대하여</x:v>
      </x:c>
      <x:c r="F642" s="112" t="str">
        <x:v>웹소생각</x:v>
      </x:c>
      <x:c r="G642" s="112" t="str">
        <x:v>웹소설 직접</x:v>
      </x:c>
      <x:c r="H642" s="112" t="str">
        <x:v>플랫폼·투고·계약</x:v>
      </x:c>
      <x:c r="I642" s="112" t="n">
        <x:v>23</x:v>
      </x:c>
      <x:c r="J642" s="112" t="str">
        <x:v>문피아</x:v>
      </x:c>
      <x:c r="K642" s="112" t="str">
        <x:v>본인 작성/의견 추정</x:v>
      </x:c>
      <x:c r="L642" s="112" t="str">
        <x:v>낮음</x:v>
      </x:c>
      <x:c r="M642" s="112" t="str">
        <x:v>재게시 표시는 없으나 저자성 직접 증거 부족</x:v>
      </x:c>
      <x:c r="N642" s="116" t="str"/>
      <x:c r="O642" s="116" t="str">
        <x:v>https://m.blog.naver.com/sntu2010/221502591165</x:v>
      </x:c>
      <x:c r="P642" s="112" t="str">
        <x:v>예</x:v>
      </x:c>
      <x:c r="Q642" s="113" t="str">
        <x:v>자동 분류·표본 검토 대상</x:v>
      </x:c>
    </x:row>
    <x:row r="643">
      <x:c r="A643" s="100" t="n">
        <x:v>642</x:v>
      </x:c>
      <x:c r="B643" s="101" t="n">
        <x:v>43556</x:v>
      </x:c>
      <x:c r="C643" s="102" t="n">
        <x:v>2019</x:v>
      </x:c>
      <x:c r="D643" s="103" t="str">
        <x:v>ID-221502556652</x:v>
      </x:c>
      <x:c r="E643" s="112" t="str">
        <x:v>[펌]헌터물 확실히 띄우기는 쉬운데 유지하기가 어려움</x:v>
      </x:c>
      <x:c r="F643" s="112" t="str">
        <x:v>웹소작법</x:v>
      </x:c>
      <x:c r="G643" s="112" t="str">
        <x:v>웹소설 직접</x:v>
      </x:c>
      <x:c r="H643" s="112" t="str">
        <x:v>작법·상업성</x:v>
      </x:c>
      <x:c r="I643" s="112" t="n">
        <x:v>8</x:v>
      </x:c>
      <x:c r="J643" s="112" t="str">
        <x:v>소재, 문장, 설정, 사이다, 독자, 제목, 작법</x:v>
      </x:c>
      <x:c r="K643" s="112" t="str">
        <x:v>재게시</x:v>
      </x:c>
      <x:c r="L643" s="112" t="str">
        <x:v>높음</x:v>
      </x:c>
      <x:c r="M643" s="112" t="str">
        <x:v>제목의 펌/퍼옴 표시</x:v>
      </x:c>
      <x:c r="N643" s="116" t="str">
        <x:v>https://gall.dcinside.com/mgallery/board/view/?id=tgijjdd&amp;no=22539&amp;search_pos=-26864&amp;s_type=search_all&amp;s_keyword=%EC%9C%A0%EB%A3%8C+%EC%A0%84%ED%99%98&amp;page=1</x:v>
      </x:c>
      <x:c r="O643" s="116" t="str">
        <x:v>https://m.blog.naver.com/sntu2010/221502556652</x:v>
      </x:c>
      <x:c r="P643" s="112" t="str">
        <x:v>예</x:v>
      </x:c>
      <x:c r="Q643" s="113" t="str">
        <x:v>자동 분류·표본 검토 대상</x:v>
      </x:c>
    </x:row>
    <x:row r="644">
      <x:c r="A644" s="100" t="n">
        <x:v>643</x:v>
      </x:c>
      <x:c r="B644" s="101" t="n">
        <x:v>43556</x:v>
      </x:c>
      <x:c r="C644" s="102" t="n">
        <x:v>2019</x:v>
      </x:c>
      <x:c r="D644" s="103" t="str">
        <x:v>ID-221502495806</x:v>
      </x:c>
      <x:c r="E644" s="112" t="str">
        <x:v>[펌]문피아 연재에 대해 아는대로 써 봄</x:v>
      </x:c>
      <x:c r="F644" s="112" t="str">
        <x:v>웹소작법</x:v>
      </x:c>
      <x:c r="G644" s="112" t="str">
        <x:v>웹소설 직접</x:v>
      </x:c>
      <x:c r="H644" s="112" t="str">
        <x:v>플랫폼·투고·계약</x:v>
      </x:c>
      <x:c r="I644" s="112" t="n">
        <x:v>24</x:v>
      </x:c>
      <x:c r="J644" s="112" t="str">
        <x:v>문피아, 매니지</x:v>
      </x:c>
      <x:c r="K644" s="112" t="str">
        <x:v>재게시</x:v>
      </x:c>
      <x:c r="L644" s="112" t="str">
        <x:v>높음</x:v>
      </x:c>
      <x:c r="M644" s="112" t="str">
        <x:v>제목의 펌/퍼옴 표시</x:v>
      </x:c>
      <x:c r="N644" s="116" t="str">
        <x:v>https://gall.dcinside.com/mgallery/board/view/?id=tgijjdd&amp;no=27814&amp;search_pos=-26864&amp;s_type=search_all&amp;s_keyword=%EC%9C%A0%EB%A3%8C+%EC%A0%84%ED%99%98&amp;page=1</x:v>
      </x:c>
      <x:c r="O644" s="116" t="str">
        <x:v>https://m.blog.naver.com/sntu2010/221502495806</x:v>
      </x:c>
      <x:c r="P644" s="112" t="str">
        <x:v>예</x:v>
      </x:c>
      <x:c r="Q644" s="113" t="str">
        <x:v>자동 분류·표본 검토 대상</x:v>
      </x:c>
    </x:row>
    <x:row r="645">
      <x:c r="A645" s="100" t="n">
        <x:v>644</x:v>
      </x:c>
      <x:c r="B645" s="101" t="n">
        <x:v>43556</x:v>
      </x:c>
      <x:c r="C645" s="102" t="n">
        <x:v>2019</x:v>
      </x:c>
      <x:c r="D645" s="103" t="str">
        <x:v>ID-221502459414</x:v>
      </x:c>
      <x:c r="E645" s="112" t="str">
        <x:v>[펌]헌터물이라고 해서 다 성공하는 게 아니다!</x:v>
      </x:c>
      <x:c r="F645" s="112" t="str">
        <x:v>웹소작법</x:v>
      </x:c>
      <x:c r="G645" s="112" t="str">
        <x:v>웹소설 직접</x:v>
      </x:c>
      <x:c r="H645" s="112" t="str">
        <x:v>작법·상업성</x:v>
      </x:c>
      <x:c r="I645" s="112" t="n">
        <x:v>3</x:v>
      </x:c>
      <x:c r="J645" s="112" t="str">
        <x:v>장르, 작법</x:v>
      </x:c>
      <x:c r="K645" s="112" t="str">
        <x:v>재게시</x:v>
      </x:c>
      <x:c r="L645" s="112" t="str">
        <x:v>높음</x:v>
      </x:c>
      <x:c r="M645" s="112" t="str">
        <x:v>제목의 펌/퍼옴 표시</x:v>
      </x:c>
      <x:c r="N645" s="116" t="str">
        <x:v>https://gall.dcinside.com/mgallery/board/view/?id=tgijjdd&amp;no=66566&amp;search_pos=-66864&amp;s_type=search_all&amp;s_keyword=%EC%9C%A0%EB%A3%8C+%EC%A0%84%ED%99%98&amp;page=1</x:v>
      </x:c>
      <x:c r="O645" s="116" t="str">
        <x:v>https://m.blog.naver.com/sntu2010/221502459414</x:v>
      </x:c>
      <x:c r="P645" s="112" t="str">
        <x:v>아니오</x:v>
      </x:c>
      <x:c r="Q645" s="113" t="str">
        <x:v>자동 분류·표본 검토 대상</x:v>
      </x:c>
    </x:row>
    <x:row r="646">
      <x:c r="A646" s="100" t="n">
        <x:v>645</x:v>
      </x:c>
      <x:c r="B646" s="101" t="n">
        <x:v>43556</x:v>
      </x:c>
      <x:c r="C646" s="102" t="n">
        <x:v>2019</x:v>
      </x:c>
      <x:c r="D646" s="103" t="str">
        <x:v>ID-221502456763</x:v>
      </x:c>
      <x:c r="E646" s="112" t="str">
        <x:v>[펌]글을 연재 할 때 쓸만한 짧은 팁</x:v>
      </x:c>
      <x:c r="F646" s="112" t="str">
        <x:v>웹소작법</x:v>
      </x:c>
      <x:c r="G646" s="112" t="str">
        <x:v>웹소설 직접</x:v>
      </x:c>
      <x:c r="H646" s="112" t="str">
        <x:v>작법·상업성</x:v>
      </x:c>
      <x:c r="I646" s="112" t="n">
        <x:v>5</x:v>
      </x:c>
      <x:c r="J646" s="112" t="str">
        <x:v>독자, 묘사, 작법</x:v>
      </x:c>
      <x:c r="K646" s="112" t="str">
        <x:v>재게시</x:v>
      </x:c>
      <x:c r="L646" s="112" t="str">
        <x:v>높음</x:v>
      </x:c>
      <x:c r="M646" s="112" t="str">
        <x:v>제목의 펌/퍼옴 표시</x:v>
      </x:c>
      <x:c r="N646" s="116" t="str">
        <x:v>https://gall.dcinside.com/mgallery/board/view/?id=tgijjdd&amp;no=68709&amp;search_pos=-66864&amp;s_type=search_all&amp;s_keyword=%EC%9C%A0%EB%A3%8C+%EC%A0%84%ED%99%98&amp;page=1</x:v>
      </x:c>
      <x:c r="O646" s="116" t="str">
        <x:v>https://m.blog.naver.com/sntu2010/221502456763</x:v>
      </x:c>
      <x:c r="P646" s="112" t="str">
        <x:v>아니오</x:v>
      </x:c>
      <x:c r="Q646" s="113" t="str">
        <x:v>자동 분류·표본 검토 대상</x:v>
      </x:c>
    </x:row>
    <x:row r="647">
      <x:c r="A647" s="100" t="n">
        <x:v>646</x:v>
      </x:c>
      <x:c r="B647" s="101" t="n">
        <x:v>43556</x:v>
      </x:c>
      <x:c r="C647" s="102" t="n">
        <x:v>2019</x:v>
      </x:c>
      <x:c r="D647" s="103" t="str">
        <x:v>ID-221502453708</x:v>
      </x:c>
      <x:c r="E647" s="112" t="str">
        <x:v>[펌]카카오 페이지 vs 문피아?</x:v>
      </x:c>
      <x:c r="F647" s="112" t="str">
        <x:v>웹소작법</x:v>
      </x:c>
      <x:c r="G647" s="112" t="str">
        <x:v>웹소설 직접</x:v>
      </x:c>
      <x:c r="H647" s="112" t="str">
        <x:v>플랫폼·투고·계약</x:v>
      </x:c>
      <x:c r="I647" s="112" t="n">
        <x:v>42</x:v>
      </x:c>
      <x:c r="J647" s="112" t="str">
        <x:v>카카오, 문피아</x:v>
      </x:c>
      <x:c r="K647" s="112" t="str">
        <x:v>재게시</x:v>
      </x:c>
      <x:c r="L647" s="112" t="str">
        <x:v>높음</x:v>
      </x:c>
      <x:c r="M647" s="112" t="str">
        <x:v>제목의 펌/퍼옴 표시</x:v>
      </x:c>
      <x:c r="N647" s="116" t="str">
        <x:v>https://gall.dcinside.com/mgallery/board/view/?id=tgijjdd&amp;no=70690&amp;search_pos=-76864&amp;s_type=search_all&amp;s_keyword=%EC%9C%A0%EB%A3%8C+%EC%A0%84%ED%99%98&amp;page=1</x:v>
      </x:c>
      <x:c r="O647" s="116" t="str">
        <x:v>https://m.blog.naver.com/sntu2010/221502453708</x:v>
      </x:c>
      <x:c r="P647" s="112" t="str">
        <x:v>예</x:v>
      </x:c>
      <x:c r="Q647" s="113" t="str">
        <x:v>자동 분류·표본 검토 대상</x:v>
      </x:c>
    </x:row>
    <x:row r="648">
      <x:c r="A648" s="100" t="n">
        <x:v>647</x:v>
      </x:c>
      <x:c r="B648" s="101" t="n">
        <x:v>43552</x:v>
      </x:c>
      <x:c r="C648" s="102" t="n">
        <x:v>2019</x:v>
      </x:c>
      <x:c r="D648" s="103" t="str">
        <x:v>ID-221499391625</x:v>
      </x:c>
      <x:c r="E648" s="112" t="str">
        <x:v>전업 웹소설 작가가 되려면 염두해야 하는 두 가지</x:v>
      </x:c>
      <x:c r="F648" s="112" t="str">
        <x:v>웹소생각</x:v>
      </x:c>
      <x:c r="G648" s="112" t="str">
        <x:v>웹소설 직접</x:v>
      </x:c>
      <x:c r="H648" s="112" t="str">
        <x:v>수익·운영</x:v>
      </x:c>
      <x:c r="I648" s="112" t="n">
        <x:v>23</x:v>
      </x:c>
      <x:c r="J648" s="112" t="str">
        <x:v>전업, 수입</x:v>
      </x:c>
      <x:c r="K648" s="112" t="str">
        <x:v>본인 작성/의견 추정</x:v>
      </x:c>
      <x:c r="L648" s="112" t="str">
        <x:v>낮음</x:v>
      </x:c>
      <x:c r="M648" s="112" t="str">
        <x:v>재게시 표시는 없으나 저자성 직접 증거 부족</x:v>
      </x:c>
      <x:c r="N648" s="116" t="str"/>
      <x:c r="O648" s="116" t="str">
        <x:v>https://m.blog.naver.com/sntu2010/221499391625</x:v>
      </x:c>
      <x:c r="P648" s="112" t="str">
        <x:v>예</x:v>
      </x:c>
      <x:c r="Q648" s="113" t="str">
        <x:v>자동 분류·표본 검토 대상</x:v>
      </x:c>
    </x:row>
    <x:row r="649">
      <x:c r="A649" s="100" t="n">
        <x:v>648</x:v>
      </x:c>
      <x:c r="B649" s="101" t="n">
        <x:v>43550</x:v>
      </x:c>
      <x:c r="C649" s="102" t="n">
        <x:v>2019</x:v>
      </x:c>
      <x:c r="D649" s="103" t="str">
        <x:v>ID-221497699034</x:v>
      </x:c>
      <x:c r="E649" s="112" t="str">
        <x:v>[펌]감정 표현 연습하려고 소장한것들 공개</x:v>
      </x:c>
      <x:c r="F649" s="112" t="str">
        <x:v>웹소작법</x:v>
      </x:c>
      <x:c r="G649" s="112" t="str">
        <x:v>웹소설 직접</x:v>
      </x:c>
      <x:c r="H649" s="112" t="str">
        <x:v>작법·상업성</x:v>
      </x:c>
      <x:c r="I649" s="112" t="n">
        <x:v>1</x:v>
      </x:c>
      <x:c r="J649" s="112" t="str">
        <x:v>작법</x:v>
      </x:c>
      <x:c r="K649" s="112" t="str">
        <x:v>재게시</x:v>
      </x:c>
      <x:c r="L649" s="112" t="str">
        <x:v>높음</x:v>
      </x:c>
      <x:c r="M649" s="112" t="str">
        <x:v>제목의 펌/퍼옴 표시</x:v>
      </x:c>
      <x:c r="N649" s="116" t="str">
        <x:v>https://gall.dcinside.com/mgallery/board/view/?id=tgijjdd&amp;no=117410&amp;exception_mode=recommend&amp;page=1</x:v>
      </x:c>
      <x:c r="O649" s="116" t="str">
        <x:v>https://m.blog.naver.com/sntu2010/221497699034</x:v>
      </x:c>
      <x:c r="P649" s="112" t="str">
        <x:v>아니오</x:v>
      </x:c>
      <x:c r="Q649" s="113" t="str">
        <x:v>자동 분류·표본 검토 대상</x:v>
      </x:c>
    </x:row>
    <x:row r="650">
      <x:c r="A650" s="100" t="n">
        <x:v>649</x:v>
      </x:c>
      <x:c r="B650" s="101" t="n">
        <x:v>43544</x:v>
      </x:c>
      <x:c r="C650" s="102" t="n">
        <x:v>2019</x:v>
      </x:c>
      <x:c r="D650" s="103" t="str">
        <x:v>ID-221492890515</x:v>
      </x:c>
      <x:c r="E650" s="112" t="str">
        <x:v>[펌]고구마와 위기를 구별하자</x:v>
      </x:c>
      <x:c r="F650" s="112" t="str">
        <x:v>웹소작법</x:v>
      </x:c>
      <x:c r="G650" s="112" t="str">
        <x:v>웹소설 직접</x:v>
      </x:c>
      <x:c r="H650" s="112" t="str">
        <x:v>작법·상업성</x:v>
      </x:c>
      <x:c r="I650" s="112" t="n">
        <x:v>26</x:v>
      </x:c>
      <x:c r="J650" s="112" t="str">
        <x:v>고구마, 사이다, 독자, 작법</x:v>
      </x:c>
      <x:c r="K650" s="112" t="str">
        <x:v>재게시</x:v>
      </x:c>
      <x:c r="L650" s="112" t="str">
        <x:v>높음</x:v>
      </x:c>
      <x:c r="M650" s="112" t="str">
        <x:v>제목의 펌/퍼옴 표시</x:v>
      </x:c>
      <x:c r="N650" s="116" t="str">
        <x:v>https://gall.dcinside.com/mgallery/board/view/?id=tgijjdd&amp;no=113698&amp;exception_mode=recommend&amp;page=1</x:v>
      </x:c>
      <x:c r="O650" s="116" t="str">
        <x:v>https://m.blog.naver.com/sntu2010/221492890515</x:v>
      </x:c>
      <x:c r="P650" s="112" t="str">
        <x:v>예</x:v>
      </x:c>
      <x:c r="Q650" s="113" t="str">
        <x:v>자동 분류·표본 검토 대상</x:v>
      </x:c>
    </x:row>
    <x:row r="651">
      <x:c r="A651" s="100" t="n">
        <x:v>650</x:v>
      </x:c>
      <x:c r="B651" s="101" t="n">
        <x:v>43544</x:v>
      </x:c>
      <x:c r="C651" s="102" t="n">
        <x:v>2019</x:v>
      </x:c>
      <x:c r="D651" s="103" t="str">
        <x:v>ID-221492884017</x:v>
      </x:c>
      <x:c r="E651" s="112" t="str">
        <x:v>[펌]웹소설에서 전투씬은 액션게임이 아니라 카드게임이다</x:v>
      </x:c>
      <x:c r="F651" s="112" t="str">
        <x:v>웹소작법</x:v>
      </x:c>
      <x:c r="G651" s="112" t="str">
        <x:v>웹소설 직접</x:v>
      </x:c>
      <x:c r="H651" s="112" t="str">
        <x:v>작법·상업성</x:v>
      </x:c>
      <x:c r="I651" s="112" t="n">
        <x:v>4</x:v>
      </x:c>
      <x:c r="J651" s="112" t="str">
        <x:v>묘사, 독자, 작법</x:v>
      </x:c>
      <x:c r="K651" s="112" t="str">
        <x:v>재게시</x:v>
      </x:c>
      <x:c r="L651" s="112" t="str">
        <x:v>높음</x:v>
      </x:c>
      <x:c r="M651" s="112" t="str">
        <x:v>제목의 펌/퍼옴 표시</x:v>
      </x:c>
      <x:c r="N651" s="116" t="str">
        <x:v>https://gall.dcinside.com/mgallery/board/view/?id=tgijjdd&amp;no=112755&amp;exception_mode=recommend&amp;page=1</x:v>
      </x:c>
      <x:c r="O651" s="116" t="str">
        <x:v>https://m.blog.naver.com/sntu2010/221492884017</x:v>
      </x:c>
      <x:c r="P651" s="112" t="str">
        <x:v>아니오</x:v>
      </x:c>
      <x:c r="Q651" s="113" t="str">
        <x:v>자동 분류·표본 검토 대상</x:v>
      </x:c>
    </x:row>
    <x:row r="652">
      <x:c r="A652" s="100" t="n">
        <x:v>651</x:v>
      </x:c>
      <x:c r="B652" s="101" t="n">
        <x:v>43544</x:v>
      </x:c>
      <x:c r="C652" s="102" t="n">
        <x:v>2019</x:v>
      </x:c>
      <x:c r="D652" s="103" t="str">
        <x:v>ID-221492768844</x:v>
      </x:c>
      <x:c r="E652" s="112" t="str">
        <x:v>등장인물 이름 만들기가 고민 된다면?</x:v>
      </x:c>
      <x:c r="F652" s="112" t="str">
        <x:v>웹소생각</x:v>
      </x:c>
      <x:c r="G652" s="112" t="str">
        <x:v>웹소설 직접</x:v>
      </x:c>
      <x:c r="H652" s="112" t="str">
        <x:v>캐릭터·전개</x:v>
      </x:c>
      <x:c r="I652" s="112" t="n">
        <x:v>21</x:v>
      </x:c>
      <x:c r="J652" s="112" t="str">
        <x:v>인물</x:v>
      </x:c>
      <x:c r="K652" s="112" t="str">
        <x:v>본인 작성/의견 추정</x:v>
      </x:c>
      <x:c r="L652" s="112" t="str">
        <x:v>낮음</x:v>
      </x:c>
      <x:c r="M652" s="112" t="str">
        <x:v>재게시 표시는 없으나 저자성 직접 증거 부족</x:v>
      </x:c>
      <x:c r="N652" s="116" t="str">
        <x:v>http://www.hipenpal.com/tool/korean-names-make-my-korean-name-in-korean.php)</x:v>
      </x:c>
      <x:c r="O652" s="116" t="str">
        <x:v>https://m.blog.naver.com/sntu2010/221492768844</x:v>
      </x:c>
      <x:c r="P652" s="112" t="str">
        <x:v>예</x:v>
      </x:c>
      <x:c r="Q652" s="113" t="str">
        <x:v>자동 분류·표본 검토 대상</x:v>
      </x:c>
    </x:row>
    <x:row r="653">
      <x:c r="A653" s="100" t="n">
        <x:v>652</x:v>
      </x:c>
      <x:c r="B653" s="101" t="n">
        <x:v>43540</x:v>
      </x:c>
      <x:c r="C653" s="102" t="n">
        <x:v>2019</x:v>
      </x:c>
      <x:c r="D653" s="103" t="str">
        <x:v>ID-221489682027</x:v>
      </x:c>
      <x:c r="E653" s="112" t="str">
        <x:v>그림 공부 이야기</x:v>
      </x:c>
      <x:c r="F653" s="112" t="str">
        <x:v>웹툰생각</x:v>
      </x:c>
      <x:c r="G653" s="112" t="str">
        <x:v>웹툰 참고</x:v>
      </x:c>
      <x:c r="H653" s="112" t="str">
        <x:v>기타/검토</x:v>
      </x:c>
      <x:c r="I653" s="112" t="n">
        <x:v>0</x:v>
      </x:c>
      <x:c r="J653" s="112" t="str"/>
      <x:c r="K653" s="112" t="str">
        <x:v>본인 작성/의견 추정</x:v>
      </x:c>
      <x:c r="L653" s="112" t="str">
        <x:v>낮음</x:v>
      </x:c>
      <x:c r="M653" s="112" t="str">
        <x:v>재게시 표시는 없으나 저자성 직접 증거 부족</x:v>
      </x:c>
      <x:c r="N653" s="116" t="str"/>
      <x:c r="O653" s="116" t="str">
        <x:v>https://m.blog.naver.com/sntu2010/221489682027</x:v>
      </x:c>
      <x:c r="P653" s="112" t="str">
        <x:v>아니오</x:v>
      </x:c>
      <x:c r="Q653" s="113" t="str">
        <x:v>수동 검토 필요</x:v>
      </x:c>
    </x:row>
    <x:row r="654">
      <x:c r="A654" s="100" t="n">
        <x:v>653</x:v>
      </x:c>
      <x:c r="B654" s="101" t="n">
        <x:v>43536</x:v>
      </x:c>
      <x:c r="C654" s="102" t="n">
        <x:v>2019</x:v>
      </x:c>
      <x:c r="D654" s="103" t="str">
        <x:v>ID-221486665113</x:v>
      </x:c>
      <x:c r="E654" s="112" t="str">
        <x:v>보기만 해도 소재가 떠오르는 키워드</x:v>
      </x:c>
      <x:c r="F654" s="112" t="str">
        <x:v>웹소생각</x:v>
      </x:c>
      <x:c r="G654" s="112" t="str">
        <x:v>웹소설 직접</x:v>
      </x:c>
      <x:c r="H654" s="112" t="str">
        <x:v>작법·상업성</x:v>
      </x:c>
      <x:c r="I654" s="112" t="n">
        <x:v>21</x:v>
      </x:c>
      <x:c r="J654" s="112" t="str">
        <x:v>소재</x:v>
      </x:c>
      <x:c r="K654" s="112" t="str">
        <x:v>본인 작성/의견 추정</x:v>
      </x:c>
      <x:c r="L654" s="112" t="str">
        <x:v>낮음</x:v>
      </x:c>
      <x:c r="M654" s="112" t="str">
        <x:v>재게시 표시는 없으나 저자성 직접 증거 부족</x:v>
      </x:c>
      <x:c r="N654" s="116" t="str"/>
      <x:c r="O654" s="116" t="str">
        <x:v>https://m.blog.naver.com/sntu2010/221486665113</x:v>
      </x:c>
      <x:c r="P654" s="112" t="str">
        <x:v>예</x:v>
      </x:c>
      <x:c r="Q654" s="113" t="str">
        <x:v>자동 분류·표본 검토 대상</x:v>
      </x:c>
    </x:row>
    <x:row r="655">
      <x:c r="A655" s="100" t="n">
        <x:v>654</x:v>
      </x:c>
      <x:c r="B655" s="101" t="n">
        <x:v>43536</x:v>
      </x:c>
      <x:c r="C655" s="102" t="n">
        <x:v>2019</x:v>
      </x:c>
      <x:c r="D655" s="103" t="str">
        <x:v>ID-221486427500</x:v>
      </x:c>
      <x:c r="E655" s="112" t="str">
        <x:v>[펌]유연 연독율 팁 한 번 써봄</x:v>
      </x:c>
      <x:c r="F655" s="112" t="str">
        <x:v>웹소작법</x:v>
      </x:c>
      <x:c r="G655" s="112" t="str">
        <x:v>웹소설 직접</x:v>
      </x:c>
      <x:c r="H655" s="112" t="str">
        <x:v>초반부/연독률</x:v>
      </x:c>
      <x:c r="I655" s="112" t="n">
        <x:v>21</x:v>
      </x:c>
      <x:c r="J655" s="112" t="str">
        <x:v>연독</x:v>
      </x:c>
      <x:c r="K655" s="112" t="str">
        <x:v>재게시</x:v>
      </x:c>
      <x:c r="L655" s="112" t="str">
        <x:v>높음</x:v>
      </x:c>
      <x:c r="M655" s="112" t="str">
        <x:v>제목의 펌/퍼옴 표시</x:v>
      </x:c>
      <x:c r="N655" s="116" t="str">
        <x:v>https://gall.dcinside.com/mgallery/board/view/?id=tgijjdd&amp;no=111430&amp;exception_mode=recommend&amp;page=1</x:v>
      </x:c>
      <x:c r="O655" s="116" t="str">
        <x:v>https://m.blog.naver.com/sntu2010/221486427500</x:v>
      </x:c>
      <x:c r="P655" s="112" t="str">
        <x:v>예</x:v>
      </x:c>
      <x:c r="Q655" s="113" t="str">
        <x:v>자동 분류·표본 검토 대상</x:v>
      </x:c>
    </x:row>
    <x:row r="656">
      <x:c r="A656" s="100" t="n">
        <x:v>655</x:v>
      </x:c>
      <x:c r="B656" s="101" t="n">
        <x:v>43535</x:v>
      </x:c>
      <x:c r="C656" s="102" t="n">
        <x:v>2019</x:v>
      </x:c>
      <x:c r="D656" s="103" t="str">
        <x:v>ID-221485591387</x:v>
      </x:c>
      <x:c r="E656" s="112" t="str">
        <x:v>[펌]글쓰기가 막혔을 때 팁</x:v>
      </x:c>
      <x:c r="F656" s="112" t="str">
        <x:v>웹소작법</x:v>
      </x:c>
      <x:c r="G656" s="112" t="str">
        <x:v>웹소설 직접</x:v>
      </x:c>
      <x:c r="H656" s="112" t="str">
        <x:v>작법·상업성</x:v>
      </x:c>
      <x:c r="I656" s="112" t="n">
        <x:v>21</x:v>
      </x:c>
      <x:c r="J656" s="112" t="str">
        <x:v>글쓰기, 작법</x:v>
      </x:c>
      <x:c r="K656" s="112" t="str">
        <x:v>재게시</x:v>
      </x:c>
      <x:c r="L656" s="112" t="str">
        <x:v>높음</x:v>
      </x:c>
      <x:c r="M656" s="112" t="str">
        <x:v>제목의 펌/퍼옴 표시</x:v>
      </x:c>
      <x:c r="N656" s="116" t="str">
        <x:v>https://gall.dcinside.com/mgallery/board/view/?id=tgijjdd&amp;no=110636&amp;exception_mode=recommend&amp;page=1</x:v>
      </x:c>
      <x:c r="O656" s="116" t="str">
        <x:v>https://m.blog.naver.com/sntu2010/221485591387</x:v>
      </x:c>
      <x:c r="P656" s="112" t="str">
        <x:v>예</x:v>
      </x:c>
      <x:c r="Q656" s="113" t="str">
        <x:v>자동 분류·표본 검토 대상</x:v>
      </x:c>
    </x:row>
    <x:row r="657">
      <x:c r="A657" s="100" t="n">
        <x:v>656</x:v>
      </x:c>
      <x:c r="B657" s="101" t="n">
        <x:v>43532</x:v>
      </x:c>
      <x:c r="C657" s="102" t="n">
        <x:v>2019</x:v>
      </x:c>
      <x:c r="D657" s="103" t="str">
        <x:v>ID-221483220306</x:v>
      </x:c>
      <x:c r="E657" s="112" t="str">
        <x:v>[펌]글쓰기 팁 모음</x:v>
      </x:c>
      <x:c r="F657" s="112" t="str">
        <x:v>웹소작법</x:v>
      </x:c>
      <x:c r="G657" s="112" t="str">
        <x:v>웹소설 직접</x:v>
      </x:c>
      <x:c r="H657" s="112" t="str">
        <x:v>작법·상업성</x:v>
      </x:c>
      <x:c r="I657" s="112" t="n">
        <x:v>27</x:v>
      </x:c>
      <x:c r="J657" s="112" t="str">
        <x:v>글쓰기, 독자, 묘사, 문장, 작법</x:v>
      </x:c>
      <x:c r="K657" s="112" t="str">
        <x:v>재게시</x:v>
      </x:c>
      <x:c r="L657" s="112" t="str">
        <x:v>높음</x:v>
      </x:c>
      <x:c r="M657" s="112" t="str">
        <x:v>제목의 펌/퍼옴 표시</x:v>
      </x:c>
      <x:c r="N657" s="116" t="str">
        <x:v>https://gall.dcinside.com/mgallery/board/view/?id=tgijjdd&amp;no=105517&amp;exception_mode=recommend&amp;page=2</x:v>
      </x:c>
      <x:c r="O657" s="116" t="str">
        <x:v>https://m.blog.naver.com/sntu2010/221483220306</x:v>
      </x:c>
      <x:c r="P657" s="112" t="str">
        <x:v>예</x:v>
      </x:c>
      <x:c r="Q657" s="113" t="str">
        <x:v>자동 분류·표본 검토 대상</x:v>
      </x:c>
    </x:row>
    <x:row r="658">
      <x:c r="A658" s="100" t="n">
        <x:v>657</x:v>
      </x:c>
      <x:c r="B658" s="101" t="n">
        <x:v>43524</x:v>
      </x:c>
      <x:c r="C658" s="102" t="n">
        <x:v>2019</x:v>
      </x:c>
      <x:c r="D658" s="103" t="str">
        <x:v>ID-221477062748</x:v>
      </x:c>
      <x:c r="E658" s="112" t="str">
        <x:v>이세계 회귀자 설정집 공개</x:v>
      </x:c>
      <x:c r="F658" s="112" t="str">
        <x:v>웹소생각</x:v>
      </x:c>
      <x:c r="G658" s="112" t="str">
        <x:v>웹소설 직접</x:v>
      </x:c>
      <x:c r="H658" s="112" t="str">
        <x:v>작법·상업성</x:v>
      </x:c>
      <x:c r="I658" s="112" t="n">
        <x:v>22</x:v>
      </x:c>
      <x:c r="J658" s="112" t="str">
        <x:v>설정, 독자</x:v>
      </x:c>
      <x:c r="K658" s="112" t="str">
        <x:v>본인 경험담 추정</x:v>
      </x:c>
      <x:c r="L658" s="112" t="str">
        <x:v>중간</x:v>
      </x:c>
      <x:c r="M658" s="112" t="str">
        <x:v>1인칭 경험·작품·계약 표현</x:v>
      </x:c>
      <x:c r="N658" s="116" t="str"/>
      <x:c r="O658" s="116" t="str">
        <x:v>https://m.blog.naver.com/sntu2010/221477062748</x:v>
      </x:c>
      <x:c r="P658" s="112" t="str">
        <x:v>예</x:v>
      </x:c>
      <x:c r="Q658" s="113" t="str">
        <x:v>자동 분류·표본 검토 대상</x:v>
      </x:c>
    </x:row>
    <x:row r="659">
      <x:c r="A659" s="100" t="n">
        <x:v>658</x:v>
      </x:c>
      <x:c r="B659" s="101" t="n">
        <x:v>43524</x:v>
      </x:c>
      <x:c r="C659" s="102" t="n">
        <x:v>2019</x:v>
      </x:c>
      <x:c r="D659" s="103" t="str">
        <x:v>ID-221476965038</x:v>
      </x:c>
      <x:c r="E659" s="112" t="str">
        <x:v>신작에 적용한 플롯을 공개합니다.</x:v>
      </x:c>
      <x:c r="F659" s="112" t="str">
        <x:v>웹소생각</x:v>
      </x:c>
      <x:c r="G659" s="112" t="str">
        <x:v>웹소설 직접</x:v>
      </x:c>
      <x:c r="H659" s="112" t="str">
        <x:v>캐릭터·전개</x:v>
      </x:c>
      <x:c r="I659" s="112" t="n">
        <x:v>27</x:v>
      </x:c>
      <x:c r="J659" s="112" t="str">
        <x:v>플롯, 에피소드, 주인공</x:v>
      </x:c>
      <x:c r="K659" s="112" t="str">
        <x:v>본인 작성/의견 추정</x:v>
      </x:c>
      <x:c r="L659" s="112" t="str">
        <x:v>낮음</x:v>
      </x:c>
      <x:c r="M659" s="112" t="str">
        <x:v>재게시 표시는 없으나 저자성 직접 증거 부족</x:v>
      </x:c>
      <x:c r="N659" s="116" t="str"/>
      <x:c r="O659" s="116" t="str">
        <x:v>https://m.blog.naver.com/sntu2010/221476965038</x:v>
      </x:c>
      <x:c r="P659" s="112" t="str">
        <x:v>예</x:v>
      </x:c>
      <x:c r="Q659" s="113" t="str">
        <x:v>자동 분류·표본 검토 대상</x:v>
      </x:c>
    </x:row>
    <x:row r="660">
      <x:c r="A660" s="100" t="n">
        <x:v>659</x:v>
      </x:c>
      <x:c r="B660" s="101" t="n">
        <x:v>43523</x:v>
      </x:c>
      <x:c r="C660" s="102" t="n">
        <x:v>2019</x:v>
      </x:c>
      <x:c r="D660" s="103" t="str">
        <x:v>ID-221475830317</x:v>
      </x:c>
      <x:c r="E660" s="112" t="str">
        <x:v>[펌]상황 표현 모음집</x:v>
      </x:c>
      <x:c r="F660" s="112" t="str">
        <x:v>웹소작법</x:v>
      </x:c>
      <x:c r="G660" s="112" t="str">
        <x:v>웹소설 직접</x:v>
      </x:c>
      <x:c r="H660" s="112" t="str">
        <x:v>작법·상업성</x:v>
      </x:c>
      <x:c r="I660" s="112" t="n">
        <x:v>1</x:v>
      </x:c>
      <x:c r="J660" s="112" t="str">
        <x:v>작법</x:v>
      </x:c>
      <x:c r="K660" s="112" t="str">
        <x:v>재게시</x:v>
      </x:c>
      <x:c r="L660" s="112" t="str">
        <x:v>높음</x:v>
      </x:c>
      <x:c r="M660" s="112" t="str">
        <x:v>제목의 펌/퍼옴 표시</x:v>
      </x:c>
      <x:c r="N660" s="116" t="str">
        <x:v>https://gall.dcinside.com/mgallery/board/view/?id=tgijjdd&amp;no=105503&amp;exception_mode=recommend&amp;page=1</x:v>
      </x:c>
      <x:c r="O660" s="116" t="str">
        <x:v>https://m.blog.naver.com/sntu2010/221475830317</x:v>
      </x:c>
      <x:c r="P660" s="112" t="str">
        <x:v>아니오</x:v>
      </x:c>
      <x:c r="Q660" s="113" t="str">
        <x:v>자동 분류·표본 검토 대상</x:v>
      </x:c>
    </x:row>
    <x:row r="661">
      <x:c r="A661" s="100" t="n">
        <x:v>660</x:v>
      </x:c>
      <x:c r="B661" s="101" t="n">
        <x:v>43521</x:v>
      </x:c>
      <x:c r="C661" s="102" t="n">
        <x:v>2019</x:v>
      </x:c>
      <x:c r="D661" s="103" t="str">
        <x:v>ID-221474183288</x:v>
      </x:c>
      <x:c r="E661" s="112" t="str">
        <x:v>[펌]제 2회 금강 웹소 Q&amp;A 1,2부 정리.AEIOUver</x:v>
      </x:c>
      <x:c r="F661" s="112" t="str">
        <x:v>웹소작법</x:v>
      </x:c>
      <x:c r="G661" s="112" t="str">
        <x:v>웹소설 직접</x:v>
      </x:c>
      <x:c r="H661" s="112" t="str">
        <x:v>작법·상업성</x:v>
      </x:c>
      <x:c r="I661" s="112" t="n">
        <x:v>1</x:v>
      </x:c>
      <x:c r="J661" s="112" t="str">
        <x:v>작법</x:v>
      </x:c>
      <x:c r="K661" s="112" t="str">
        <x:v>재게시</x:v>
      </x:c>
      <x:c r="L661" s="112" t="str">
        <x:v>높음</x:v>
      </x:c>
      <x:c r="M661" s="112" t="str">
        <x:v>제목의 펌/퍼옴 표시</x:v>
      </x:c>
      <x:c r="N661" s="116" t="str">
        <x:v>https://gall.dcinside.com/mgallery/board/view/?id=tgijjdd&amp;no=103555&amp;exception_mode=recommend&amp;page=1</x:v>
      </x:c>
      <x:c r="O661" s="116" t="str">
        <x:v>https://m.blog.naver.com/sntu2010/221474183288</x:v>
      </x:c>
      <x:c r="P661" s="112" t="str">
        <x:v>아니오</x:v>
      </x:c>
      <x:c r="Q661" s="113" t="str">
        <x:v>자동 분류·표본 검토 대상</x:v>
      </x:c>
    </x:row>
    <x:row r="662">
      <x:c r="A662" s="100" t="n">
        <x:v>661</x:v>
      </x:c>
      <x:c r="B662" s="101" t="n">
        <x:v>43521</x:v>
      </x:c>
      <x:c r="C662" s="102" t="n">
        <x:v>2019</x:v>
      </x:c>
      <x:c r="D662" s="103" t="str">
        <x:v>ID-221474181502</x:v>
      </x:c>
      <x:c r="E662" s="112" t="str">
        <x:v>[펌]금강 특강 1,2부</x:v>
      </x:c>
      <x:c r="F662" s="112" t="str">
        <x:v>웹소작법</x:v>
      </x:c>
      <x:c r="G662" s="112" t="str">
        <x:v>웹소설 직접</x:v>
      </x:c>
      <x:c r="H662" s="112" t="str">
        <x:v>캐릭터·전개</x:v>
      </x:c>
      <x:c r="I662" s="112" t="n">
        <x:v>4</x:v>
      </x:c>
      <x:c r="J662" s="112" t="str">
        <x:v>캐릭터, 플롯</x:v>
      </x:c>
      <x:c r="K662" s="112" t="str">
        <x:v>재게시</x:v>
      </x:c>
      <x:c r="L662" s="112" t="str">
        <x:v>높음</x:v>
      </x:c>
      <x:c r="M662" s="112" t="str">
        <x:v>제목의 펌/퍼옴 표시</x:v>
      </x:c>
      <x:c r="N662" s="116" t="str">
        <x:v>https://gall.dcinside.com/mgallery/board/view/?id=tgijjdd&amp;no=103133&amp;exception_mode=recommend&amp;page=1</x:v>
      </x:c>
      <x:c r="O662" s="116" t="str">
        <x:v>https://m.blog.naver.com/sntu2010/221474181502</x:v>
      </x:c>
      <x:c r="P662" s="112" t="str">
        <x:v>아니오</x:v>
      </x:c>
      <x:c r="Q662" s="113" t="str">
        <x:v>자동 분류·표본 검토 대상</x:v>
      </x:c>
    </x:row>
    <x:row r="663">
      <x:c r="A663" s="100" t="n">
        <x:v>662</x:v>
      </x:c>
      <x:c r="B663" s="101" t="n">
        <x:v>43518</x:v>
      </x:c>
      <x:c r="C663" s="102" t="n">
        <x:v>2019</x:v>
      </x:c>
      <x:c r="D663" s="103" t="str">
        <x:v>ID-221472597810</x:v>
      </x:c>
      <x:c r="E663" s="112" t="str">
        <x:v>웹소설계의 정점 '디다트' 작가님 플롯 분석</x:v>
      </x:c>
      <x:c r="F663" s="112" t="str">
        <x:v>웹소생각</x:v>
      </x:c>
      <x:c r="G663" s="112" t="str">
        <x:v>웹소설 직접</x:v>
      </x:c>
      <x:c r="H663" s="112" t="str">
        <x:v>캐릭터·전개</x:v>
      </x:c>
      <x:c r="I663" s="112" t="n">
        <x:v>21</x:v>
      </x:c>
      <x:c r="J663" s="112" t="str">
        <x:v>플롯</x:v>
      </x:c>
      <x:c r="K663" s="112" t="str">
        <x:v>본인 작성/의견 추정</x:v>
      </x:c>
      <x:c r="L663" s="112" t="str">
        <x:v>낮음</x:v>
      </x:c>
      <x:c r="M663" s="112" t="str">
        <x:v>재게시 표시는 없으나 저자성 직접 증거 부족</x:v>
      </x:c>
      <x:c r="N663" s="116" t="str"/>
      <x:c r="O663" s="116" t="str">
        <x:v>https://m.blog.naver.com/sntu2010/221472597810</x:v>
      </x:c>
      <x:c r="P663" s="112" t="str">
        <x:v>예</x:v>
      </x:c>
      <x:c r="Q663" s="113" t="str">
        <x:v>자동 분류·표본 검토 대상</x:v>
      </x:c>
    </x:row>
    <x:row r="664">
      <x:c r="A664" s="100" t="n">
        <x:v>663</x:v>
      </x:c>
      <x:c r="B664" s="101" t="n">
        <x:v>43517</x:v>
      </x:c>
      <x:c r="C664" s="102" t="n">
        <x:v>2019</x:v>
      </x:c>
      <x:c r="D664" s="103" t="str">
        <x:v>ID-221471721079</x:v>
      </x:c>
      <x:c r="E664" s="112" t="str">
        <x:v>[펌]열자마자 뒤로가기 누르게 되는 프롤로그 도입</x:v>
      </x:c>
      <x:c r="F664" s="112" t="str">
        <x:v>웹소작법</x:v>
      </x:c>
      <x:c r="G664" s="112" t="str">
        <x:v>웹소설 직접</x:v>
      </x:c>
      <x:c r="H664" s="112" t="str">
        <x:v>작법·상업성</x:v>
      </x:c>
      <x:c r="I664" s="112" t="n">
        <x:v>1</x:v>
      </x:c>
      <x:c r="J664" s="112" t="str">
        <x:v>작법</x:v>
      </x:c>
      <x:c r="K664" s="112" t="str">
        <x:v>재게시</x:v>
      </x:c>
      <x:c r="L664" s="112" t="str">
        <x:v>높음</x:v>
      </x:c>
      <x:c r="M664" s="112" t="str">
        <x:v>제목의 펌/퍼옴 표시</x:v>
      </x:c>
      <x:c r="N664" s="116" t="str">
        <x:v>https://gall.dcinside.com/mgallery/board/view/?id=tgijjdd&amp;no=102062&amp;exception_mode=recommend&amp;page=1</x:v>
      </x:c>
      <x:c r="O664" s="116" t="str">
        <x:v>https://m.blog.naver.com/sntu2010/221471721079</x:v>
      </x:c>
      <x:c r="P664" s="112" t="str">
        <x:v>아니오</x:v>
      </x:c>
      <x:c r="Q664" s="113" t="str">
        <x:v>자동 분류·표본 검토 대상</x:v>
      </x:c>
    </x:row>
    <x:row r="665">
      <x:c r="A665" s="100" t="n">
        <x:v>664</x:v>
      </x:c>
      <x:c r="B665" s="101" t="n">
        <x:v>43516</x:v>
      </x:c>
      <x:c r="C665" s="102" t="n">
        <x:v>2019</x:v>
      </x:c>
      <x:c r="D665" s="103" t="str">
        <x:v>ID-221471041455</x:v>
      </x:c>
      <x:c r="E665" s="112" t="str">
        <x:v>[펌]자기가 쓴 스토리를 간단 점검하는 방법</x:v>
      </x:c>
      <x:c r="F665" s="112" t="str">
        <x:v>웹툰작법</x:v>
      </x:c>
      <x:c r="G665" s="112" t="str">
        <x:v>웹툰 참고</x:v>
      </x:c>
      <x:c r="H665" s="112" t="str">
        <x:v>캐릭터·전개</x:v>
      </x:c>
      <x:c r="I665" s="112" t="n">
        <x:v>3</x:v>
      </x:c>
      <x:c r="J665" s="112" t="str">
        <x:v>플롯, 주인공</x:v>
      </x:c>
      <x:c r="K665" s="112" t="str">
        <x:v>재게시</x:v>
      </x:c>
      <x:c r="L665" s="112" t="str">
        <x:v>높음</x:v>
      </x:c>
      <x:c r="M665" s="112" t="str">
        <x:v>제목의 펌/퍼옴 표시</x:v>
      </x:c>
      <x:c r="N665" s="116" t="str">
        <x:v>https://cafe.naver.com/bscomic/578449</x:v>
      </x:c>
      <x:c r="O665" s="116" t="str">
        <x:v>https://m.blog.naver.com/sntu2010/221471041455</x:v>
      </x:c>
      <x:c r="P665" s="112" t="str">
        <x:v>아니오</x:v>
      </x:c>
      <x:c r="Q665" s="113" t="str">
        <x:v>자동 분류·표본 검토 대상</x:v>
      </x:c>
    </x:row>
    <x:row r="666">
      <x:c r="A666" s="100" t="n">
        <x:v>665</x:v>
      </x:c>
      <x:c r="B666" s="101" t="n">
        <x:v>43513</x:v>
      </x:c>
      <x:c r="C666" s="102" t="n">
        <x:v>2019</x:v>
      </x:c>
      <x:c r="D666" s="103" t="str">
        <x:v>ID-221468059601</x:v>
      </x:c>
      <x:c r="E666" s="112" t="str">
        <x:v>문피아 유료 전환? 적정한 유료 전환률을 알아보자!</x:v>
      </x:c>
      <x:c r="F666" s="112" t="str">
        <x:v>웹소생각</x:v>
      </x:c>
      <x:c r="G666" s="112" t="str">
        <x:v>웹소설 직접</x:v>
      </x:c>
      <x:c r="H666" s="112" t="str">
        <x:v>플랫폼·투고·계약</x:v>
      </x:c>
      <x:c r="I666" s="112" t="n">
        <x:v>28</x:v>
      </x:c>
      <x:c r="J666" s="112" t="str">
        <x:v>문피아, 연재처, 조아라, 네이버, 카카오, 출판사, 매니지, 계약</x:v>
      </x:c>
      <x:c r="K666" s="112" t="str">
        <x:v>본인 경험담 추정</x:v>
      </x:c>
      <x:c r="L666" s="112" t="str">
        <x:v>중간</x:v>
      </x:c>
      <x:c r="M666" s="112" t="str">
        <x:v>1인칭 경험·작품·계약 표현</x:v>
      </x:c>
      <x:c r="N666" s="116" t="str"/>
      <x:c r="O666" s="116" t="str">
        <x:v>https://m.blog.naver.com/sntu2010/221468059601</x:v>
      </x:c>
      <x:c r="P666" s="112" t="str">
        <x:v>예</x:v>
      </x:c>
      <x:c r="Q666" s="113" t="str">
        <x:v>자동 분류·표본 검토 대상</x:v>
      </x:c>
    </x:row>
    <x:row r="667">
      <x:c r="A667" s="100" t="n">
        <x:v>666</x:v>
      </x:c>
      <x:c r="B667" s="101" t="n">
        <x:v>43513</x:v>
      </x:c>
      <x:c r="C667" s="102" t="n">
        <x:v>2019</x:v>
      </x:c>
      <x:c r="D667" s="103" t="str">
        <x:v>ID-221468015356</x:v>
      </x:c>
      <x:c r="E667" s="112" t="str">
        <x:v>[펌]흔한 겜판물 플롯도 준비 했음. 참고하셈</x:v>
      </x:c>
      <x:c r="F667" s="112" t="str">
        <x:v>웹소작법</x:v>
      </x:c>
      <x:c r="G667" s="112" t="str">
        <x:v>웹소설 직접</x:v>
      </x:c>
      <x:c r="H667" s="112" t="str">
        <x:v>캐릭터·전개</x:v>
      </x:c>
      <x:c r="I667" s="112" t="n">
        <x:v>22</x:v>
      </x:c>
      <x:c r="J667" s="112" t="str">
        <x:v>플롯, 주인공</x:v>
      </x:c>
      <x:c r="K667" s="112" t="str">
        <x:v>재게시</x:v>
      </x:c>
      <x:c r="L667" s="112" t="str">
        <x:v>높음</x:v>
      </x:c>
      <x:c r="M667" s="112" t="str">
        <x:v>제목의 펌/퍼옴 표시</x:v>
      </x:c>
      <x:c r="N667" s="116" t="str">
        <x:v>http://gall.dcinside.com/mgallery/board/view/?id=tgijjdd&amp;no=99674&amp;exception_mode=recommend&amp;page=1</x:v>
      </x:c>
      <x:c r="O667" s="116" t="str">
        <x:v>https://m.blog.naver.com/sntu2010/221468015356</x:v>
      </x:c>
      <x:c r="P667" s="112" t="str">
        <x:v>예</x:v>
      </x:c>
      <x:c r="Q667" s="113" t="str">
        <x:v>자동 분류·표본 검토 대상</x:v>
      </x:c>
    </x:row>
    <x:row r="668">
      <x:c r="A668" s="100" t="n">
        <x:v>667</x:v>
      </x:c>
      <x:c r="B668" s="101" t="n">
        <x:v>43513</x:v>
      </x:c>
      <x:c r="C668" s="102" t="n">
        <x:v>2019</x:v>
      </x:c>
      <x:c r="D668" s="103" t="str">
        <x:v>ID-221468014040</x:v>
      </x:c>
      <x:c r="E668" s="112" t="str">
        <x:v>[펌]흔한 회귀 헌터물 플롯임 참고하셈</x:v>
      </x:c>
      <x:c r="F668" s="112" t="str">
        <x:v>웹소작법</x:v>
      </x:c>
      <x:c r="G668" s="112" t="str">
        <x:v>웹소설 직접</x:v>
      </x:c>
      <x:c r="H668" s="112" t="str">
        <x:v>캐릭터·전개</x:v>
      </x:c>
      <x:c r="I668" s="112" t="n">
        <x:v>24</x:v>
      </x:c>
      <x:c r="J668" s="112" t="str">
        <x:v>플롯, 주인공, 인물</x:v>
      </x:c>
      <x:c r="K668" s="112" t="str">
        <x:v>재게시</x:v>
      </x:c>
      <x:c r="L668" s="112" t="str">
        <x:v>높음</x:v>
      </x:c>
      <x:c r="M668" s="112" t="str">
        <x:v>제목의 펌/퍼옴 표시</x:v>
      </x:c>
      <x:c r="N668" s="116" t="str">
        <x:v>http://gall.dcinside.com/mgallery/board/view/?id=tgijjdd&amp;no=99622&amp;exception_mode=recommend&amp;page=1</x:v>
      </x:c>
      <x:c r="O668" s="116" t="str">
        <x:v>https://m.blog.naver.com/sntu2010/221468014040</x:v>
      </x:c>
      <x:c r="P668" s="112" t="str">
        <x:v>예</x:v>
      </x:c>
      <x:c r="Q668" s="113" t="str">
        <x:v>자동 분류·표본 검토 대상</x:v>
      </x:c>
    </x:row>
    <x:row r="669">
      <x:c r="A669" s="100" t="n">
        <x:v>668</x:v>
      </x:c>
      <x:c r="B669" s="101" t="n">
        <x:v>43510</x:v>
      </x:c>
      <x:c r="C669" s="102" t="n">
        <x:v>2019</x:v>
      </x:c>
      <x:c r="D669" s="103" t="str">
        <x:v>ID-221465427771</x:v>
      </x:c>
      <x:c r="E669" s="112" t="str">
        <x:v>[펌]웹소설 팁 글 3페이지 총 정리본</x:v>
      </x:c>
      <x:c r="F669" s="112" t="str">
        <x:v>웹소작법</x:v>
      </x:c>
      <x:c r="G669" s="112" t="str">
        <x:v>웹소설 직접</x:v>
      </x:c>
      <x:c r="H669" s="112" t="str">
        <x:v>작법·상업성</x:v>
      </x:c>
      <x:c r="I669" s="112" t="n">
        <x:v>8</x:v>
      </x:c>
      <x:c r="J669" s="112" t="str">
        <x:v>글쓰기, 문장, 묘사, 장르, 소재, 독자, 고구마, 기대감</x:v>
      </x:c>
      <x:c r="K669" s="112" t="str">
        <x:v>재게시</x:v>
      </x:c>
      <x:c r="L669" s="112" t="str">
        <x:v>높음</x:v>
      </x:c>
      <x:c r="M669" s="112" t="str">
        <x:v>제목의 펌/퍼옴 표시</x:v>
      </x:c>
      <x:c r="N669" s="116" t="str">
        <x:v>http://gall.dcinside.com/mgallery/board/view/?id=tgijjdd&amp;no=98327&amp;exception_mode=recommend&amp;page=1</x:v>
      </x:c>
      <x:c r="O669" s="116" t="str">
        <x:v>https://m.blog.naver.com/sntu2010/221465427771</x:v>
      </x:c>
      <x:c r="P669" s="112" t="str">
        <x:v>예</x:v>
      </x:c>
      <x:c r="Q669" s="113" t="str">
        <x:v>자동 분류·표본 검토 대상</x:v>
      </x:c>
    </x:row>
    <x:row r="670">
      <x:c r="A670" s="100" t="n">
        <x:v>669</x:v>
      </x:c>
      <x:c r="B670" s="101" t="n">
        <x:v>43509</x:v>
      </x:c>
      <x:c r="C670" s="102" t="n">
        <x:v>2019</x:v>
      </x:c>
      <x:c r="D670" s="103" t="str">
        <x:v>ID-221465412930</x:v>
      </x:c>
      <x:c r="E670" s="112" t="str">
        <x:v>어떻게 해야 내 소설이 상위권에 올라갈까?</x:v>
      </x:c>
      <x:c r="F670" s="112" t="str">
        <x:v>웹소생각</x:v>
      </x:c>
      <x:c r="G670" s="112" t="str">
        <x:v>웹소설 직접</x:v>
      </x:c>
      <x:c r="H670" s="112" t="str">
        <x:v>플랫폼·투고·계약</x:v>
      </x:c>
      <x:c r="I670" s="112" t="n">
        <x:v>4</x:v>
      </x:c>
      <x:c r="J670" s="112" t="str">
        <x:v>문피아, 매니지</x:v>
      </x:c>
      <x:c r="K670" s="112" t="str">
        <x:v>본인 작성/의견 추정</x:v>
      </x:c>
      <x:c r="L670" s="112" t="str">
        <x:v>낮음</x:v>
      </x:c>
      <x:c r="M670" s="112" t="str">
        <x:v>재게시 표시는 없으나 저자성 직접 증거 부족</x:v>
      </x:c>
      <x:c r="N670" s="116" t="str"/>
      <x:c r="O670" s="116" t="str">
        <x:v>https://m.blog.naver.com/sntu2010/221465412930</x:v>
      </x:c>
      <x:c r="P670" s="112" t="str">
        <x:v>아니오</x:v>
      </x:c>
      <x:c r="Q670" s="113" t="str">
        <x:v>자동 분류·표본 검토 대상</x:v>
      </x:c>
    </x:row>
    <x:row r="671">
      <x:c r="A671" s="100" t="n">
        <x:v>670</x:v>
      </x:c>
      <x:c r="B671" s="101" t="n">
        <x:v>43500</x:v>
      </x:c>
      <x:c r="C671" s="102" t="n">
        <x:v>2019</x:v>
      </x:c>
      <x:c r="D671" s="103" t="str">
        <x:v>ID-221458431727</x:v>
      </x:c>
      <x:c r="E671" s="112" t="str">
        <x:v>네이밍 정하기 &amp; 핸드폰+블루투스 키보드 작업</x:v>
      </x:c>
      <x:c r="F671" s="112" t="str">
        <x:v>웹소생각</x:v>
      </x:c>
      <x:c r="G671" s="112" t="str">
        <x:v>웹소설 직접</x:v>
      </x:c>
      <x:c r="H671" s="112" t="str">
        <x:v>캐릭터·전개</x:v>
      </x:c>
      <x:c r="I671" s="112" t="n">
        <x:v>3</x:v>
      </x:c>
      <x:c r="J671" s="112" t="str">
        <x:v>인물</x:v>
      </x:c>
      <x:c r="K671" s="112" t="str">
        <x:v>본인 작성/의견 추정</x:v>
      </x:c>
      <x:c r="L671" s="112" t="str">
        <x:v>낮음</x:v>
      </x:c>
      <x:c r="M671" s="112" t="str">
        <x:v>재게시 표시는 없으나 저자성 직접 증거 부족</x:v>
      </x:c>
      <x:c r="N671" s="116" t="str"/>
      <x:c r="O671" s="116" t="str">
        <x:v>https://m.blog.naver.com/sntu2010/221458431727</x:v>
      </x:c>
      <x:c r="P671" s="112" t="str">
        <x:v>아니오</x:v>
      </x:c>
      <x:c r="Q671" s="113" t="str">
        <x:v>자동 분류·표본 검토 대상</x:v>
      </x:c>
    </x:row>
    <x:row r="672">
      <x:c r="A672" s="100" t="n">
        <x:v>671</x:v>
      </x:c>
      <x:c r="B672" s="101" t="n">
        <x:v>43500</x:v>
      </x:c>
      <x:c r="C672" s="102" t="n">
        <x:v>2019</x:v>
      </x:c>
      <x:c r="D672" s="103" t="str">
        <x:v>ID-221458420753</x:v>
      </x:c>
      <x:c r="E672" s="112" t="str">
        <x:v>매력적인 캐릭터를 만드는 법</x:v>
      </x:c>
      <x:c r="F672" s="112" t="str">
        <x:v>웹소생각</x:v>
      </x:c>
      <x:c r="G672" s="112" t="str">
        <x:v>웹소설 직접</x:v>
      </x:c>
      <x:c r="H672" s="112" t="str">
        <x:v>캐릭터·전개</x:v>
      </x:c>
      <x:c r="I672" s="112" t="n">
        <x:v>28</x:v>
      </x:c>
      <x:c r="J672" s="112" t="str">
        <x:v>캐릭터, 인물, 주인공</x:v>
      </x:c>
      <x:c r="K672" s="112" t="str">
        <x:v>본인 작성/의견 추정</x:v>
      </x:c>
      <x:c r="L672" s="112" t="str">
        <x:v>낮음</x:v>
      </x:c>
      <x:c r="M672" s="112" t="str">
        <x:v>재게시 표시는 없으나 저자성 직접 증거 부족</x:v>
      </x:c>
      <x:c r="N672" s="116" t="str"/>
      <x:c r="O672" s="116" t="str">
        <x:v>https://m.blog.naver.com/sntu2010/221458420753</x:v>
      </x:c>
      <x:c r="P672" s="112" t="str">
        <x:v>예</x:v>
      </x:c>
      <x:c r="Q672" s="113" t="str">
        <x:v>자동 분류·표본 검토 대상</x:v>
      </x:c>
    </x:row>
    <x:row r="673">
      <x:c r="A673" s="100" t="n">
        <x:v>672</x:v>
      </x:c>
      <x:c r="B673" s="101" t="n">
        <x:v>43498</x:v>
      </x:c>
      <x:c r="C673" s="102" t="n">
        <x:v>2019</x:v>
      </x:c>
      <x:c r="D673" s="103" t="str">
        <x:v>ID-221457484459</x:v>
      </x:c>
      <x:c r="E673" s="112" t="str">
        <x:v>웹소설 플롯 짜는 방법을 공개합니다!</x:v>
      </x:c>
      <x:c r="F673" s="112" t="str">
        <x:v>웹소생각</x:v>
      </x:c>
      <x:c r="G673" s="112" t="str">
        <x:v>웹소설 직접</x:v>
      </x:c>
      <x:c r="H673" s="112" t="str">
        <x:v>캐릭터·전개</x:v>
      </x:c>
      <x:c r="I673" s="112" t="n">
        <x:v>24</x:v>
      </x:c>
      <x:c r="J673" s="112" t="str">
        <x:v>플롯, 주인공</x:v>
      </x:c>
      <x:c r="K673" s="112" t="str">
        <x:v>본인 작성/의견 추정</x:v>
      </x:c>
      <x:c r="L673" s="112" t="str">
        <x:v>낮음</x:v>
      </x:c>
      <x:c r="M673" s="112" t="str">
        <x:v>재게시 표시는 없으나 저자성 직접 증거 부족</x:v>
      </x:c>
      <x:c r="N673" s="116" t="str"/>
      <x:c r="O673" s="116" t="str">
        <x:v>https://m.blog.naver.com/sntu2010/221457484459</x:v>
      </x:c>
      <x:c r="P673" s="112" t="str">
        <x:v>예</x:v>
      </x:c>
      <x:c r="Q673" s="113" t="str">
        <x:v>자동 분류·표본 검토 대상</x:v>
      </x:c>
    </x:row>
    <x:row r="674">
      <x:c r="A674" s="100" t="n">
        <x:v>673</x:v>
      </x:c>
      <x:c r="B674" s="101" t="n">
        <x:v>43497</x:v>
      </x:c>
      <x:c r="C674" s="102" t="n">
        <x:v>2019</x:v>
      </x:c>
      <x:c r="D674" s="103" t="str">
        <x:v>ID-221456543450</x:v>
      </x:c>
      <x:c r="E674" s="112" t="str">
        <x:v>[펌]주관적인 소설 쓰면서 어려웠던 점, 플롯 구상법</x:v>
      </x:c>
      <x:c r="F674" s="112" t="str">
        <x:v>웹소작법</x:v>
      </x:c>
      <x:c r="G674" s="112" t="str">
        <x:v>웹소설 직접</x:v>
      </x:c>
      <x:c r="H674" s="112" t="str">
        <x:v>캐릭터·전개</x:v>
      </x:c>
      <x:c r="I674" s="112" t="n">
        <x:v>28</x:v>
      </x:c>
      <x:c r="J674" s="112" t="str">
        <x:v>플롯, 인물, 에피소드, 주인공</x:v>
      </x:c>
      <x:c r="K674" s="112" t="str">
        <x:v>재게시</x:v>
      </x:c>
      <x:c r="L674" s="112" t="str">
        <x:v>높음</x:v>
      </x:c>
      <x:c r="M674" s="112" t="str">
        <x:v>제목의 펌/퍼옴 표시</x:v>
      </x:c>
      <x:c r="N674" s="116" t="str">
        <x:v>http://gall.dcinside.com/mgallery/board/view/?id=tgijjdd&amp;no=92591&amp;exception_mode=recommend&amp;page=1</x:v>
      </x:c>
      <x:c r="O674" s="116" t="str">
        <x:v>https://m.blog.naver.com/sntu2010/221456543450</x:v>
      </x:c>
      <x:c r="P674" s="112" t="str">
        <x:v>예</x:v>
      </x:c>
      <x:c r="Q674" s="113" t="str">
        <x:v>자동 분류·표본 검토 대상</x:v>
      </x:c>
    </x:row>
    <x:row r="675">
      <x:c r="A675" s="100" t="n">
        <x:v>674</x:v>
      </x:c>
      <x:c r="B675" s="101" t="n">
        <x:v>43494</x:v>
      </x:c>
      <x:c r="C675" s="102" t="n">
        <x:v>2019</x:v>
      </x:c>
      <x:c r="D675" s="103" t="str">
        <x:v>ID-221453674702</x:v>
      </x:c>
      <x:c r="E675" s="112" t="str">
        <x:v>[펌]사이다는 서스펜스의 반대 적용이 아닐까?</x:v>
      </x:c>
      <x:c r="F675" s="112" t="str">
        <x:v>웹소작법</x:v>
      </x:c>
      <x:c r="G675" s="112" t="str">
        <x:v>웹소설 직접</x:v>
      </x:c>
      <x:c r="H675" s="112" t="str">
        <x:v>작법·상업성</x:v>
      </x:c>
      <x:c r="I675" s="112" t="n">
        <x:v>22</x:v>
      </x:c>
      <x:c r="J675" s="112" t="str">
        <x:v>사이다, 독자, 작법</x:v>
      </x:c>
      <x:c r="K675" s="112" t="str">
        <x:v>재게시</x:v>
      </x:c>
      <x:c r="L675" s="112" t="str">
        <x:v>높음</x:v>
      </x:c>
      <x:c r="M675" s="112" t="str">
        <x:v>제목의 펌/퍼옴 표시</x:v>
      </x:c>
      <x:c r="N675" s="116" t="str">
        <x:v>http://gall.dcinside.com/mgallery/board/view/?id=tgijjdd&amp;no=90399&amp;exception_mode=recommend&amp;page=1</x:v>
      </x:c>
      <x:c r="O675" s="116" t="str">
        <x:v>https://m.blog.naver.com/sntu2010/221453674702</x:v>
      </x:c>
      <x:c r="P675" s="112" t="str">
        <x:v>예</x:v>
      </x:c>
      <x:c r="Q675" s="113" t="str">
        <x:v>자동 분류·표본 검토 대상</x:v>
      </x:c>
    </x:row>
    <x:row r="676">
      <x:c r="A676" s="100" t="n">
        <x:v>675</x:v>
      </x:c>
      <x:c r="B676" s="101" t="n">
        <x:v>43494</x:v>
      </x:c>
      <x:c r="C676" s="102" t="n">
        <x:v>2019</x:v>
      </x:c>
      <x:c r="D676" s="103" t="str">
        <x:v>ID-221453668460</x:v>
      </x:c>
      <x:c r="E676" s="112" t="str">
        <x:v>[펌]플롯에 집착하지 마라. 중요한 건 컨셉에 맞는 글쓰기다</x:v>
      </x:c>
      <x:c r="F676" s="112" t="str">
        <x:v>웹소작법</x:v>
      </x:c>
      <x:c r="G676" s="112" t="str">
        <x:v>웹소설 직접</x:v>
      </x:c>
      <x:c r="H676" s="112" t="str">
        <x:v>작법·상업성</x:v>
      </x:c>
      <x:c r="I676" s="112" t="n">
        <x:v>25</x:v>
      </x:c>
      <x:c r="J676" s="112" t="str">
        <x:v>글쓰기, 소재, 작법</x:v>
      </x:c>
      <x:c r="K676" s="112" t="str">
        <x:v>재게시</x:v>
      </x:c>
      <x:c r="L676" s="112" t="str">
        <x:v>높음</x:v>
      </x:c>
      <x:c r="M676" s="112" t="str">
        <x:v>제목의 펌/퍼옴 표시</x:v>
      </x:c>
      <x:c r="N676" s="116" t="str">
        <x:v>http://gall.dcinside.com/mgallery/board/view/?id=tgijjdd&amp;no=91207&amp;exception_mode=recommend&amp;page=1</x:v>
      </x:c>
      <x:c r="O676" s="116" t="str">
        <x:v>https://m.blog.naver.com/sntu2010/221453668460</x:v>
      </x:c>
      <x:c r="P676" s="112" t="str">
        <x:v>예</x:v>
      </x:c>
      <x:c r="Q676" s="113" t="str">
        <x:v>자동 분류·표본 검토 대상</x:v>
      </x:c>
    </x:row>
    <x:row r="677">
      <x:c r="A677" s="100" t="n">
        <x:v>676</x:v>
      </x:c>
      <x:c r="B677" s="101" t="n">
        <x:v>43494</x:v>
      </x:c>
      <x:c r="C677" s="102" t="n">
        <x:v>2019</x:v>
      </x:c>
      <x:c r="D677" s="103" t="str">
        <x:v>ID-221453649435</x:v>
      </x:c>
      <x:c r="E677" s="112" t="str">
        <x:v>[펌]인기 웹소설 'BJ대마도사' 6~27화 플롯, 문체 분석</x:v>
      </x:c>
      <x:c r="F677" s="112" t="str">
        <x:v>웹소작법</x:v>
      </x:c>
      <x:c r="G677" s="112" t="str">
        <x:v>웹소설 직접</x:v>
      </x:c>
      <x:c r="H677" s="112" t="str">
        <x:v>캐릭터·전개</x:v>
      </x:c>
      <x:c r="I677" s="112" t="n">
        <x:v>26</x:v>
      </x:c>
      <x:c r="J677" s="112" t="str">
        <x:v>플롯, 주인공, 사건</x:v>
      </x:c>
      <x:c r="K677" s="112" t="str">
        <x:v>재게시</x:v>
      </x:c>
      <x:c r="L677" s="112" t="str">
        <x:v>높음</x:v>
      </x:c>
      <x:c r="M677" s="112" t="str">
        <x:v>제목의 펌/퍼옴 표시</x:v>
      </x:c>
      <x:c r="N677" s="116" t="str">
        <x:v>http://gall.dcinside.com/mgallery/board/view/?id=tgijjdd&amp;no=88479&amp;exception_mode=recommend&amp;page=1</x:v>
      </x:c>
      <x:c r="O677" s="116" t="str">
        <x:v>https://m.blog.naver.com/sntu2010/221453649435</x:v>
      </x:c>
      <x:c r="P677" s="112" t="str">
        <x:v>예</x:v>
      </x:c>
      <x:c r="Q677" s="113" t="str">
        <x:v>자동 분류·표본 검토 대상</x:v>
      </x:c>
    </x:row>
    <x:row r="678">
      <x:c r="A678" s="100" t="n">
        <x:v>677</x:v>
      </x:c>
      <x:c r="B678" s="101" t="n">
        <x:v>43488</x:v>
      </x:c>
      <x:c r="C678" s="102" t="n">
        <x:v>2019</x:v>
      </x:c>
      <x:c r="D678" s="103" t="str">
        <x:v>ID-221448824427</x:v>
      </x:c>
      <x:c r="E678" s="112" t="str">
        <x:v>[펌]인기 웹소설 'BJ대마도사' 1~5화 플롯, 문체 분석</x:v>
      </x:c>
      <x:c r="F678" s="112" t="str">
        <x:v>웹소작법</x:v>
      </x:c>
      <x:c r="G678" s="112" t="str">
        <x:v>웹소설 직접</x:v>
      </x:c>
      <x:c r="H678" s="112" t="str">
        <x:v>캐릭터·전개</x:v>
      </x:c>
      <x:c r="I678" s="112" t="n">
        <x:v>28</x:v>
      </x:c>
      <x:c r="J678" s="112" t="str">
        <x:v>플롯, 주인공, 사건, 캐릭터</x:v>
      </x:c>
      <x:c r="K678" s="112" t="str">
        <x:v>재게시</x:v>
      </x:c>
      <x:c r="L678" s="112" t="str">
        <x:v>높음</x:v>
      </x:c>
      <x:c r="M678" s="112" t="str">
        <x:v>제목의 펌/퍼옴 표시</x:v>
      </x:c>
      <x:c r="N678" s="116" t="str">
        <x:v>http://gall.dcinside.com/mgallery/board/view/?id=tgijjdd&amp;no=87895&amp;exception_mode=recommend&amp;page=1</x:v>
      </x:c>
      <x:c r="O678" s="116" t="str">
        <x:v>https://m.blog.naver.com/sntu2010/221448824427</x:v>
      </x:c>
      <x:c r="P678" s="112" t="str">
        <x:v>예</x:v>
      </x:c>
      <x:c r="Q678" s="113" t="str">
        <x:v>자동 분류·표본 검토 대상</x:v>
      </x:c>
    </x:row>
    <x:row r="679">
      <x:c r="A679" s="100" t="n">
        <x:v>678</x:v>
      </x:c>
      <x:c r="B679" s="101" t="n">
        <x:v>43479</x:v>
      </x:c>
      <x:c r="C679" s="102" t="n">
        <x:v>2019</x:v>
      </x:c>
      <x:c r="D679" s="103" t="str">
        <x:v>ID-221442186382</x:v>
      </x:c>
      <x:c r="E679" s="112" t="str">
        <x:v>웹툰화 된 웹소설은 어떤 작품이 있을까?</x:v>
      </x:c>
      <x:c r="F679" s="112" t="str">
        <x:v>웹툰생각</x:v>
      </x:c>
      <x:c r="G679" s="112" t="str">
        <x:v>웹툰 참고</x:v>
      </x:c>
      <x:c r="H679" s="112" t="str">
        <x:v>플랫폼·투고·계약</x:v>
      </x:c>
      <x:c r="I679" s="112" t="n">
        <x:v>2</x:v>
      </x:c>
      <x:c r="J679" s="112" t="str">
        <x:v>네이버</x:v>
      </x:c>
      <x:c r="K679" s="112" t="str">
        <x:v>본인 작성/의견 추정</x:v>
      </x:c>
      <x:c r="L679" s="112" t="str">
        <x:v>낮음</x:v>
      </x:c>
      <x:c r="M679" s="112" t="str">
        <x:v>재게시 표시는 없으나 저자성 직접 증거 부족</x:v>
      </x:c>
      <x:c r="N679" s="116" t="str"/>
      <x:c r="O679" s="116" t="str">
        <x:v>https://m.blog.naver.com/sntu2010/221442186382</x:v>
      </x:c>
      <x:c r="P679" s="112" t="str">
        <x:v>아니오</x:v>
      </x:c>
      <x:c r="Q679" s="113" t="str">
        <x:v>수동 검토 필요</x:v>
      </x:c>
    </x:row>
    <x:row r="680">
      <x:c r="A680" s="100" t="n">
        <x:v>679</x:v>
      </x:c>
      <x:c r="B680" s="101" t="n">
        <x:v>43479</x:v>
      </x:c>
      <x:c r="C680" s="102" t="n">
        <x:v>2019</x:v>
      </x:c>
      <x:c r="D680" s="103" t="str">
        <x:v>ID-221442005758</x:v>
      </x:c>
      <x:c r="E680" s="112" t="str">
        <x:v>[펌]웹툰 스토리 작가가 보는 웹소설</x:v>
      </x:c>
      <x:c r="F680" s="112" t="str">
        <x:v>웹소작법</x:v>
      </x:c>
      <x:c r="G680" s="112" t="str">
        <x:v>웹소설 직접</x:v>
      </x:c>
      <x:c r="H680" s="112" t="str">
        <x:v>작법·상업성</x:v>
      </x:c>
      <x:c r="I680" s="112" t="n">
        <x:v>6</x:v>
      </x:c>
      <x:c r="J680" s="112" t="str">
        <x:v>재미, 트렌드, 독자, 작법</x:v>
      </x:c>
      <x:c r="K680" s="112" t="str">
        <x:v>재게시</x:v>
      </x:c>
      <x:c r="L680" s="112" t="str">
        <x:v>높음</x:v>
      </x:c>
      <x:c r="M680" s="112" t="str">
        <x:v>제목의 펌/퍼옴 표시</x:v>
      </x:c>
      <x:c r="N680" s="116" t="str">
        <x:v>http://gall.dcinside.com/mgallery/board/view/?id=tgijjdd&amp;no=82331&amp;exception_mode=recommend&amp;page=1</x:v>
      </x:c>
      <x:c r="O680" s="116" t="str">
        <x:v>https://m.blog.naver.com/sntu2010/221442005758</x:v>
      </x:c>
      <x:c r="P680" s="112" t="str">
        <x:v>예</x:v>
      </x:c>
      <x:c r="Q680" s="113" t="str">
        <x:v>자동 분류·표본 검토 대상</x:v>
      </x:c>
    </x:row>
    <x:row r="681">
      <x:c r="A681" s="100" t="n">
        <x:v>680</x:v>
      </x:c>
      <x:c r="B681" s="101" t="n">
        <x:v>43476</x:v>
      </x:c>
      <x:c r="C681" s="102" t="n">
        <x:v>2019</x:v>
      </x:c>
      <x:c r="D681" s="103" t="str">
        <x:v>ID-221440088520</x:v>
      </x:c>
      <x:c r="E681" s="112" t="str">
        <x:v>[펌]인기 웹소설 '망나니 1왕자가 되었다' 분석</x:v>
      </x:c>
      <x:c r="F681" s="112" t="str">
        <x:v>웹소작법</x:v>
      </x:c>
      <x:c r="G681" s="112" t="str">
        <x:v>웹소설 직접</x:v>
      </x:c>
      <x:c r="H681" s="112" t="str">
        <x:v>초반부/연독률</x:v>
      </x:c>
      <x:c r="I681" s="112" t="n">
        <x:v>5</x:v>
      </x:c>
      <x:c r="J681" s="112" t="str">
        <x:v>초반</x:v>
      </x:c>
      <x:c r="K681" s="112" t="str">
        <x:v>재게시</x:v>
      </x:c>
      <x:c r="L681" s="112" t="str">
        <x:v>높음</x:v>
      </x:c>
      <x:c r="M681" s="112" t="str">
        <x:v>제목의 펌/퍼옴 표시</x:v>
      </x:c>
      <x:c r="N681" s="116" t="str">
        <x:v>http://gall.dcinside.com/mgallery/board/view/?id=tgijjdd&amp;no=79523&amp;exception_mode=recommend&amp;page=1</x:v>
      </x:c>
      <x:c r="O681" s="116" t="str">
        <x:v>https://m.blog.naver.com/sntu2010/221440088520</x:v>
      </x:c>
      <x:c r="P681" s="112" t="str">
        <x:v>아니오</x:v>
      </x:c>
      <x:c r="Q681" s="113" t="str">
        <x:v>자동 분류·표본 검토 대상</x:v>
      </x:c>
    </x:row>
    <x:row r="682">
      <x:c r="A682" s="100" t="n">
        <x:v>681</x:v>
      </x:c>
      <x:c r="B682" s="101" t="n">
        <x:v>43469</x:v>
      </x:c>
      <x:c r="C682" s="102" t="n">
        <x:v>2019</x:v>
      </x:c>
      <x:c r="D682" s="103" t="str">
        <x:v>ID-221434555087</x:v>
      </x:c>
      <x:c r="E682" s="112" t="str">
        <x:v>[펌]조아라 노블레스 투베 상위권 들어가는 법, 그리고 유지하는 법(알박기)</x:v>
      </x:c>
      <x:c r="F682" s="112" t="str">
        <x:v>웹소작법</x:v>
      </x:c>
      <x:c r="G682" s="112" t="str">
        <x:v>웹소설 직접</x:v>
      </x:c>
      <x:c r="H682" s="112" t="str">
        <x:v>플랫폼·투고·계약</x:v>
      </x:c>
      <x:c r="I682" s="112" t="n">
        <x:v>22</x:v>
      </x:c>
      <x:c r="J682" s="112" t="str">
        <x:v>조아라</x:v>
      </x:c>
      <x:c r="K682" s="112" t="str">
        <x:v>재게시</x:v>
      </x:c>
      <x:c r="L682" s="112" t="str">
        <x:v>높음</x:v>
      </x:c>
      <x:c r="M682" s="112" t="str">
        <x:v>제목의 펌/퍼옴 표시</x:v>
      </x:c>
      <x:c r="N682" s="116" t="str">
        <x:v>http://gall.dcinside.com/mgallery/board/view/?id=tgijjdd&amp;no=77445&amp;exception_mode=recommend&amp;page=1</x:v>
      </x:c>
      <x:c r="O682" s="116" t="str">
        <x:v>https://m.blog.naver.com/sntu2010/221434555087</x:v>
      </x:c>
      <x:c r="P682" s="112" t="str">
        <x:v>예</x:v>
      </x:c>
      <x:c r="Q682" s="113" t="str">
        <x:v>자동 분류·표본 검토 대상</x:v>
      </x:c>
    </x:row>
    <x:row r="683">
      <x:c r="A683" s="100" t="n">
        <x:v>682</x:v>
      </x:c>
      <x:c r="B683" s="101" t="n">
        <x:v>43468</x:v>
      </x:c>
      <x:c r="C683" s="102" t="n">
        <x:v>2019</x:v>
      </x:c>
      <x:c r="D683" s="103" t="str">
        <x:v>ID-221433278074</x:v>
      </x:c>
      <x:c r="E683" s="112" t="str">
        <x:v>[펌]판타지 사전 - 중세유럽의 화폐 단위</x:v>
      </x:c>
      <x:c r="F683" s="112" t="str">
        <x:v>창작소재</x:v>
      </x:c>
      <x:c r="G683" s="112" t="str">
        <x:v>공통 창작소재</x:v>
      </x:c>
      <x:c r="H683" s="112" t="str">
        <x:v>작법·상업성</x:v>
      </x:c>
      <x:c r="I683" s="112" t="n">
        <x:v>1</x:v>
      </x:c>
      <x:c r="J683" s="112" t="str">
        <x:v>소재</x:v>
      </x:c>
      <x:c r="K683" s="112" t="str">
        <x:v>재게시</x:v>
      </x:c>
      <x:c r="L683" s="112" t="str">
        <x:v>높음</x:v>
      </x:c>
      <x:c r="M683" s="112" t="str">
        <x:v>제목의 펌/퍼옴 표시</x:v>
      </x:c>
      <x:c r="N683" s="116" t="str">
        <x:v>http://gall.dcinside.com/mgallery/board/view/?id=tgijjdd&amp;no=76561&amp;exception_mode=recommend&amp;page=1</x:v>
      </x:c>
      <x:c r="O683" s="116" t="str">
        <x:v>https://m.blog.naver.com/sntu2010/221433278074</x:v>
      </x:c>
      <x:c r="P683" s="112" t="str">
        <x:v>아니오</x:v>
      </x:c>
      <x:c r="Q683" s="113" t="str">
        <x:v>자동 분류·표본 검토 대상</x:v>
      </x:c>
    </x:row>
    <x:row r="684">
      <x:c r="A684" s="100" t="n">
        <x:v>683</x:v>
      </x:c>
      <x:c r="B684" s="101" t="n">
        <x:v>43464</x:v>
      </x:c>
      <x:c r="C684" s="102" t="n">
        <x:v>2018</x:v>
      </x:c>
      <x:c r="D684" s="103" t="str">
        <x:v>ID-221430423996</x:v>
      </x:c>
      <x:c r="E684" s="112" t="str">
        <x:v>[펌]장르소설 작가로 산 3개월 후기 및 소회</x:v>
      </x:c>
      <x:c r="F684" s="112" t="str">
        <x:v>웹소작법</x:v>
      </x:c>
      <x:c r="G684" s="112" t="str">
        <x:v>웹소설 직접</x:v>
      </x:c>
      <x:c r="H684" s="112" t="str">
        <x:v>작법·상업성</x:v>
      </x:c>
      <x:c r="I684" s="112" t="n">
        <x:v>21</x:v>
      </x:c>
      <x:c r="J684" s="112" t="str">
        <x:v>장르, 작법</x:v>
      </x:c>
      <x:c r="K684" s="112" t="str">
        <x:v>재게시</x:v>
      </x:c>
      <x:c r="L684" s="112" t="str">
        <x:v>높음</x:v>
      </x:c>
      <x:c r="M684" s="112" t="str">
        <x:v>제목의 펌/퍼옴 표시</x:v>
      </x:c>
      <x:c r="N684" s="116" t="str">
        <x:v>https://m.clien.net/service/board/use/12994611</x:v>
      </x:c>
      <x:c r="O684" s="116" t="str">
        <x:v>https://m.blog.naver.com/sntu2010/221430423996</x:v>
      </x:c>
      <x:c r="P684" s="112" t="str">
        <x:v>예</x:v>
      </x:c>
      <x:c r="Q684" s="113" t="str">
        <x:v>자동 분류·표본 검토 대상</x:v>
      </x:c>
    </x:row>
    <x:row r="685">
      <x:c r="A685" s="100" t="n">
        <x:v>684</x:v>
      </x:c>
      <x:c r="B685" s="101" t="n">
        <x:v>43464</x:v>
      </x:c>
      <x:c r="C685" s="102" t="n">
        <x:v>2018</x:v>
      </x:c>
      <x:c r="D685" s="103" t="str">
        <x:v>ID-221430305077</x:v>
      </x:c>
      <x:c r="E685" s="112" t="str">
        <x:v>[펌]잘 팔리는 웹소설 특징.jpg</x:v>
      </x:c>
      <x:c r="F685" s="112" t="str">
        <x:v>웹소작법</x:v>
      </x:c>
      <x:c r="G685" s="112" t="str">
        <x:v>웹소설 직접</x:v>
      </x:c>
      <x:c r="H685" s="112" t="str">
        <x:v>작법·상업성</x:v>
      </x:c>
      <x:c r="I685" s="112" t="n">
        <x:v>1</x:v>
      </x:c>
      <x:c r="J685" s="112" t="str">
        <x:v>작법</x:v>
      </x:c>
      <x:c r="K685" s="112" t="str">
        <x:v>재게시</x:v>
      </x:c>
      <x:c r="L685" s="112" t="str">
        <x:v>높음</x:v>
      </x:c>
      <x:c r="M685" s="112" t="str">
        <x:v>제목의 펌/퍼옴 표시</x:v>
      </x:c>
      <x:c r="N685" s="116" t="str">
        <x:v>http://gall.dcinside.com/mgallery/board/view/?id=tgijjdd&amp;no=74456&amp;exception_mode=recommend&amp;page=1</x:v>
      </x:c>
      <x:c r="O685" s="116" t="str">
        <x:v>https://m.blog.naver.com/sntu2010/221430305077</x:v>
      </x:c>
      <x:c r="P685" s="112" t="str">
        <x:v>아니오</x:v>
      </x:c>
      <x:c r="Q685" s="113" t="str">
        <x:v>자동 분류·표본 검토 대상</x:v>
      </x:c>
    </x:row>
    <x:row r="686">
      <x:c r="A686" s="100" t="n">
        <x:v>685</x:v>
      </x:c>
      <x:c r="B686" s="101" t="n">
        <x:v>43462</x:v>
      </x:c>
      <x:c r="C686" s="102" t="n">
        <x:v>2018</x:v>
      </x:c>
      <x:c r="D686" s="103" t="str">
        <x:v>ID-221429237176</x:v>
      </x:c>
      <x:c r="E686" s="112" t="str">
        <x:v>[펌]만화 그리는 법 강좌(디지털 초보자 편)</x:v>
      </x:c>
      <x:c r="F686" s="112" t="str">
        <x:v>웹툰작법</x:v>
      </x:c>
      <x:c r="G686" s="112" t="str">
        <x:v>웹툰 참고</x:v>
      </x:c>
      <x:c r="H686" s="112" t="str">
        <x:v>작법·상업성</x:v>
      </x:c>
      <x:c r="I686" s="112" t="n">
        <x:v>1</x:v>
      </x:c>
      <x:c r="J686" s="112" t="str">
        <x:v>작법</x:v>
      </x:c>
      <x:c r="K686" s="112" t="str">
        <x:v>재게시</x:v>
      </x:c>
      <x:c r="L686" s="112" t="str">
        <x:v>높음</x:v>
      </x:c>
      <x:c r="M686" s="112" t="str">
        <x:v>제목의 펌/퍼옴 표시</x:v>
      </x:c>
      <x:c r="N686" s="116" t="str">
        <x:v>https://tips.clip-studio.com/ko-kr/series/127</x:v>
      </x:c>
      <x:c r="O686" s="116" t="str">
        <x:v>https://m.blog.naver.com/sntu2010/221429237176</x:v>
      </x:c>
      <x:c r="P686" s="112" t="str">
        <x:v>아니오</x:v>
      </x:c>
      <x:c r="Q686" s="113" t="str">
        <x:v>자동 분류·표본 검토 대상</x:v>
      </x:c>
    </x:row>
    <x:row r="687">
      <x:c r="A687" s="100" t="n">
        <x:v>686</x:v>
      </x:c>
      <x:c r="B687" s="101" t="n">
        <x:v>43460</x:v>
      </x:c>
      <x:c r="C687" s="102" t="n">
        <x:v>2018</x:v>
      </x:c>
      <x:c r="D687" s="103" t="str">
        <x:v>ID-221427348127</x:v>
      </x:c>
      <x:c r="E687" s="112" t="str">
        <x:v>[펌]일러스트를 그리는 법(응용 편)</x:v>
      </x:c>
      <x:c r="F687" s="112" t="str">
        <x:v>웹툰작법</x:v>
      </x:c>
      <x:c r="G687" s="112" t="str">
        <x:v>웹툰 참고</x:v>
      </x:c>
      <x:c r="H687" s="112" t="str">
        <x:v>작법·상업성</x:v>
      </x:c>
      <x:c r="I687" s="112" t="n">
        <x:v>1</x:v>
      </x:c>
      <x:c r="J687" s="112" t="str">
        <x:v>작법</x:v>
      </x:c>
      <x:c r="K687" s="112" t="str">
        <x:v>재게시</x:v>
      </x:c>
      <x:c r="L687" s="112" t="str">
        <x:v>높음</x:v>
      </x:c>
      <x:c r="M687" s="112" t="str">
        <x:v>제목의 펌/퍼옴 표시</x:v>
      </x:c>
      <x:c r="N687" s="116" t="str">
        <x:v>https://tips.clip-studio.com/ko-kr/series/10</x:v>
      </x:c>
      <x:c r="O687" s="116" t="str">
        <x:v>https://m.blog.naver.com/sntu2010/221427348127</x:v>
      </x:c>
      <x:c r="P687" s="112" t="str">
        <x:v>아니오</x:v>
      </x:c>
      <x:c r="Q687" s="113" t="str">
        <x:v>자동 분류·표본 검토 대상</x:v>
      </x:c>
    </x:row>
    <x:row r="688">
      <x:c r="A688" s="100" t="n">
        <x:v>687</x:v>
      </x:c>
      <x:c r="B688" s="101" t="n">
        <x:v>43460</x:v>
      </x:c>
      <x:c r="C688" s="102" t="n">
        <x:v>2018</x:v>
      </x:c>
      <x:c r="D688" s="103" t="str">
        <x:v>ID-221427290109</x:v>
      </x:c>
      <x:c r="E688" s="112" t="str">
        <x:v>[펌]일러스트를 그리는 법(기본 편)</x:v>
      </x:c>
      <x:c r="F688" s="112" t="str">
        <x:v>웹툰작법</x:v>
      </x:c>
      <x:c r="G688" s="112" t="str">
        <x:v>웹툰 참고</x:v>
      </x:c>
      <x:c r="H688" s="112" t="str">
        <x:v>작법·상업성</x:v>
      </x:c>
      <x:c r="I688" s="112" t="n">
        <x:v>1</x:v>
      </x:c>
      <x:c r="J688" s="112" t="str">
        <x:v>작법</x:v>
      </x:c>
      <x:c r="K688" s="112" t="str">
        <x:v>재게시</x:v>
      </x:c>
      <x:c r="L688" s="112" t="str">
        <x:v>높음</x:v>
      </x:c>
      <x:c r="M688" s="112" t="str">
        <x:v>제목의 펌/퍼옴 표시</x:v>
      </x:c>
      <x:c r="N688" s="116" t="str">
        <x:v>https://tips.clip-studio.com/ko-kr/series/9</x:v>
      </x:c>
      <x:c r="O688" s="116" t="str">
        <x:v>https://m.blog.naver.com/sntu2010/221427290109</x:v>
      </x:c>
      <x:c r="P688" s="112" t="str">
        <x:v>아니오</x:v>
      </x:c>
      <x:c r="Q688" s="113" t="str">
        <x:v>자동 분류·표본 검토 대상</x:v>
      </x:c>
    </x:row>
    <x:row r="689">
      <x:c r="A689" s="100" t="n">
        <x:v>688</x:v>
      </x:c>
      <x:c r="B689" s="101" t="n">
        <x:v>43458</x:v>
      </x:c>
      <x:c r="C689" s="102" t="n">
        <x:v>2018</x:v>
      </x:c>
      <x:c r="D689" s="103" t="str">
        <x:v>ID-221425881952</x:v>
      </x:c>
      <x:c r="E689" s="112" t="str">
        <x:v>[펌]웹소설 스토리 짜는데 필요한 방법 및 노하우 몇가지</x:v>
      </x:c>
      <x:c r="F689" s="112" t="str">
        <x:v>웹소작법</x:v>
      </x:c>
      <x:c r="G689" s="112" t="str">
        <x:v>웹소설 직접</x:v>
      </x:c>
      <x:c r="H689" s="112" t="str">
        <x:v>캐릭터·전개</x:v>
      </x:c>
      <x:c r="I689" s="112" t="n">
        <x:v>7</x:v>
      </x:c>
      <x:c r="J689" s="112" t="str">
        <x:v>전개, 시점, 주인공</x:v>
      </x:c>
      <x:c r="K689" s="112" t="str">
        <x:v>재게시</x:v>
      </x:c>
      <x:c r="L689" s="112" t="str">
        <x:v>높음</x:v>
      </x:c>
      <x:c r="M689" s="112" t="str">
        <x:v>제목의 펌/퍼옴 표시</x:v>
      </x:c>
      <x:c r="N689" s="116" t="str">
        <x:v>http://gall.dcinside.com/mgallery/board/view/?id=tgijjdd&amp;no=72333&amp;exception_mode=recommend&amp;page=1</x:v>
      </x:c>
      <x:c r="O689" s="116" t="str">
        <x:v>https://m.blog.naver.com/sntu2010/221425881952</x:v>
      </x:c>
      <x:c r="P689" s="112" t="str">
        <x:v>예</x:v>
      </x:c>
      <x:c r="Q689" s="113" t="str">
        <x:v>자동 분류·표본 검토 대상</x:v>
      </x:c>
    </x:row>
    <x:row r="690">
      <x:c r="A690" s="100" t="n">
        <x:v>689</x:v>
      </x:c>
      <x:c r="B690" s="101" t="n">
        <x:v>43457</x:v>
      </x:c>
      <x:c r="C690" s="102" t="n">
        <x:v>2018</x:v>
      </x:c>
      <x:c r="D690" s="103" t="str">
        <x:v>ID-221425878758</x:v>
      </x:c>
      <x:c r="E690" s="112" t="str">
        <x:v>[펌]클립스튜디오 일러스트 제작 과정(6)</x:v>
      </x:c>
      <x:c r="F690" s="112" t="str">
        <x:v>웹툰작법</x:v>
      </x:c>
      <x:c r="G690" s="112" t="str">
        <x:v>웹툰 참고</x:v>
      </x:c>
      <x:c r="H690" s="112" t="str">
        <x:v>작법·상업성</x:v>
      </x:c>
      <x:c r="I690" s="112" t="n">
        <x:v>1</x:v>
      </x:c>
      <x:c r="J690" s="112" t="str">
        <x:v>작법</x:v>
      </x:c>
      <x:c r="K690" s="112" t="str">
        <x:v>재게시</x:v>
      </x:c>
      <x:c r="L690" s="112" t="str">
        <x:v>높음</x:v>
      </x:c>
      <x:c r="M690" s="112" t="str">
        <x:v>제목의 펌/퍼옴 표시</x:v>
      </x:c>
      <x:c r="N690" s="116" t="str">
        <x:v>https://tips.clip-studio.com/ko-kr/articles/1290</x:v>
      </x:c>
      <x:c r="O690" s="116" t="str">
        <x:v>https://m.blog.naver.com/sntu2010/221425878758</x:v>
      </x:c>
      <x:c r="P690" s="112" t="str">
        <x:v>아니오</x:v>
      </x:c>
      <x:c r="Q690" s="113" t="str">
        <x:v>자동 분류·표본 검토 대상</x:v>
      </x:c>
    </x:row>
    <x:row r="691">
      <x:c r="A691" s="100" t="n">
        <x:v>690</x:v>
      </x:c>
      <x:c r="B691" s="101" t="n">
        <x:v>43457</x:v>
      </x:c>
      <x:c r="C691" s="102" t="n">
        <x:v>2018</x:v>
      </x:c>
      <x:c r="D691" s="103" t="str">
        <x:v>ID-221425876878</x:v>
      </x:c>
      <x:c r="E691" s="112" t="str">
        <x:v>[펌]클립스튜디오 일러스트 제작 과정(5)</x:v>
      </x:c>
      <x:c r="F691" s="112" t="str">
        <x:v>웹툰작법</x:v>
      </x:c>
      <x:c r="G691" s="112" t="str">
        <x:v>웹툰 참고</x:v>
      </x:c>
      <x:c r="H691" s="112" t="str">
        <x:v>작법·상업성</x:v>
      </x:c>
      <x:c r="I691" s="112" t="n">
        <x:v>1</x:v>
      </x:c>
      <x:c r="J691" s="112" t="str">
        <x:v>작법</x:v>
      </x:c>
      <x:c r="K691" s="112" t="str">
        <x:v>재게시</x:v>
      </x:c>
      <x:c r="L691" s="112" t="str">
        <x:v>높음</x:v>
      </x:c>
      <x:c r="M691" s="112" t="str">
        <x:v>제목의 펌/퍼옴 표시</x:v>
      </x:c>
      <x:c r="N691" s="116" t="str">
        <x:v>https://tips.clip-studio.com/ko-kr/articles/1289</x:v>
      </x:c>
      <x:c r="O691" s="116" t="str">
        <x:v>https://m.blog.naver.com/sntu2010/221425876878</x:v>
      </x:c>
      <x:c r="P691" s="112" t="str">
        <x:v>아니오</x:v>
      </x:c>
      <x:c r="Q691" s="113" t="str">
        <x:v>자동 분류·표본 검토 대상</x:v>
      </x:c>
    </x:row>
    <x:row r="692">
      <x:c r="A692" s="100" t="n">
        <x:v>691</x:v>
      </x:c>
      <x:c r="B692" s="101" t="n">
        <x:v>43457</x:v>
      </x:c>
      <x:c r="C692" s="102" t="n">
        <x:v>2018</x:v>
      </x:c>
      <x:c r="D692" s="103" t="str">
        <x:v>ID-221425875504</x:v>
      </x:c>
      <x:c r="E692" s="112" t="str">
        <x:v>[펌]클립스튜디오 일러스트 제작 과정(4)</x:v>
      </x:c>
      <x:c r="F692" s="112" t="str">
        <x:v>웹툰작법</x:v>
      </x:c>
      <x:c r="G692" s="112" t="str">
        <x:v>웹툰 참고</x:v>
      </x:c>
      <x:c r="H692" s="112" t="str">
        <x:v>작법·상업성</x:v>
      </x:c>
      <x:c r="I692" s="112" t="n">
        <x:v>1</x:v>
      </x:c>
      <x:c r="J692" s="112" t="str">
        <x:v>작법</x:v>
      </x:c>
      <x:c r="K692" s="112" t="str">
        <x:v>재게시</x:v>
      </x:c>
      <x:c r="L692" s="112" t="str">
        <x:v>높음</x:v>
      </x:c>
      <x:c r="M692" s="112" t="str">
        <x:v>제목의 펌/퍼옴 표시</x:v>
      </x:c>
      <x:c r="N692" s="116" t="str">
        <x:v>https://tips.clip-studio.com/ko-kr/articles/1288</x:v>
      </x:c>
      <x:c r="O692" s="116" t="str">
        <x:v>https://m.blog.naver.com/sntu2010/221425875504</x:v>
      </x:c>
      <x:c r="P692" s="112" t="str">
        <x:v>아니오</x:v>
      </x:c>
      <x:c r="Q692" s="113" t="str">
        <x:v>자동 분류·표본 검토 대상</x:v>
      </x:c>
    </x:row>
    <x:row r="693">
      <x:c r="A693" s="100" t="n">
        <x:v>692</x:v>
      </x:c>
      <x:c r="B693" s="101" t="n">
        <x:v>43457</x:v>
      </x:c>
      <x:c r="C693" s="102" t="n">
        <x:v>2018</x:v>
      </x:c>
      <x:c r="D693" s="103" t="str">
        <x:v>ID-221425874409</x:v>
      </x:c>
      <x:c r="E693" s="112" t="str">
        <x:v>[펌]클립스튜디오 일러스트 제작 과정(3)</x:v>
      </x:c>
      <x:c r="F693" s="112" t="str">
        <x:v>웹툰작법</x:v>
      </x:c>
      <x:c r="G693" s="112" t="str">
        <x:v>웹툰 참고</x:v>
      </x:c>
      <x:c r="H693" s="112" t="str">
        <x:v>작법·상업성</x:v>
      </x:c>
      <x:c r="I693" s="112" t="n">
        <x:v>1</x:v>
      </x:c>
      <x:c r="J693" s="112" t="str">
        <x:v>작법</x:v>
      </x:c>
      <x:c r="K693" s="112" t="str">
        <x:v>재게시</x:v>
      </x:c>
      <x:c r="L693" s="112" t="str">
        <x:v>높음</x:v>
      </x:c>
      <x:c r="M693" s="112" t="str">
        <x:v>제목의 펌/퍼옴 표시</x:v>
      </x:c>
      <x:c r="N693" s="116" t="str">
        <x:v>https://tips.clip-studio.com/ko-kr/articles/1287</x:v>
      </x:c>
      <x:c r="O693" s="116" t="str">
        <x:v>https://m.blog.naver.com/sntu2010/221425874409</x:v>
      </x:c>
      <x:c r="P693" s="112" t="str">
        <x:v>아니오</x:v>
      </x:c>
      <x:c r="Q693" s="113" t="str">
        <x:v>자동 분류·표본 검토 대상</x:v>
      </x:c>
    </x:row>
    <x:row r="694">
      <x:c r="A694" s="100" t="n">
        <x:v>693</x:v>
      </x:c>
      <x:c r="B694" s="101" t="n">
        <x:v>43457</x:v>
      </x:c>
      <x:c r="C694" s="102" t="n">
        <x:v>2018</x:v>
      </x:c>
      <x:c r="D694" s="103" t="str">
        <x:v>ID-221425872215</x:v>
      </x:c>
      <x:c r="E694" s="112" t="str">
        <x:v>[펌]클립스튜디오 일러스트 제작 과정(2)</x:v>
      </x:c>
      <x:c r="F694" s="112" t="str">
        <x:v>웹툰작법</x:v>
      </x:c>
      <x:c r="G694" s="112" t="str">
        <x:v>웹툰 참고</x:v>
      </x:c>
      <x:c r="H694" s="112" t="str">
        <x:v>작법·상업성</x:v>
      </x:c>
      <x:c r="I694" s="112" t="n">
        <x:v>1</x:v>
      </x:c>
      <x:c r="J694" s="112" t="str">
        <x:v>작법</x:v>
      </x:c>
      <x:c r="K694" s="112" t="str">
        <x:v>재게시</x:v>
      </x:c>
      <x:c r="L694" s="112" t="str">
        <x:v>높음</x:v>
      </x:c>
      <x:c r="M694" s="112" t="str">
        <x:v>제목의 펌/퍼옴 표시</x:v>
      </x:c>
      <x:c r="N694" s="116" t="str">
        <x:v>https://tips.clip-studio.com/ko-kr/articles/1285</x:v>
      </x:c>
      <x:c r="O694" s="116" t="str">
        <x:v>https://m.blog.naver.com/sntu2010/221425872215</x:v>
      </x:c>
      <x:c r="P694" s="112" t="str">
        <x:v>아니오</x:v>
      </x:c>
      <x:c r="Q694" s="113" t="str">
        <x:v>자동 분류·표본 검토 대상</x:v>
      </x:c>
    </x:row>
    <x:row r="695">
      <x:c r="A695" s="100" t="n">
        <x:v>694</x:v>
      </x:c>
      <x:c r="B695" s="101" t="n">
        <x:v>43457</x:v>
      </x:c>
      <x:c r="C695" s="102" t="n">
        <x:v>2018</x:v>
      </x:c>
      <x:c r="D695" s="103" t="str">
        <x:v>ID-221425870744</x:v>
      </x:c>
      <x:c r="E695" s="112" t="str">
        <x:v>[펌]클립스튜디오 일러스트 제작 과정(1)</x:v>
      </x:c>
      <x:c r="F695" s="112" t="str">
        <x:v>웹툰작법</x:v>
      </x:c>
      <x:c r="G695" s="112" t="str">
        <x:v>웹툰 참고</x:v>
      </x:c>
      <x:c r="H695" s="112" t="str">
        <x:v>작법·상업성</x:v>
      </x:c>
      <x:c r="I695" s="112" t="n">
        <x:v>1</x:v>
      </x:c>
      <x:c r="J695" s="112" t="str">
        <x:v>작법</x:v>
      </x:c>
      <x:c r="K695" s="112" t="str">
        <x:v>재게시</x:v>
      </x:c>
      <x:c r="L695" s="112" t="str">
        <x:v>높음</x:v>
      </x:c>
      <x:c r="M695" s="112" t="str">
        <x:v>제목의 펌/퍼옴 표시</x:v>
      </x:c>
      <x:c r="N695" s="116" t="str">
        <x:v>https://tips.clip-studio.com/ko-kr/articles/1285</x:v>
      </x:c>
      <x:c r="O695" s="116" t="str">
        <x:v>https://m.blog.naver.com/sntu2010/221425870744</x:v>
      </x:c>
      <x:c r="P695" s="112" t="str">
        <x:v>아니오</x:v>
      </x:c>
      <x:c r="Q695" s="113" t="str">
        <x:v>자동 분류·표본 검토 대상</x:v>
      </x:c>
    </x:row>
    <x:row r="696">
      <x:c r="A696" s="100" t="n">
        <x:v>695</x:v>
      </x:c>
      <x:c r="B696" s="101" t="n">
        <x:v>43456</x:v>
      </x:c>
      <x:c r="C696" s="102" t="n">
        <x:v>2018</x:v>
      </x:c>
      <x:c r="D696" s="103" t="str">
        <x:v>ID-221424810694</x:v>
      </x:c>
      <x:c r="E696" s="112" t="str">
        <x:v>[펌]클립스튜디오 일러스트 그리기(초보)</x:v>
      </x:c>
      <x:c r="F696" s="112" t="str">
        <x:v>웹툰작법</x:v>
      </x:c>
      <x:c r="G696" s="112" t="str">
        <x:v>웹툰 참고</x:v>
      </x:c>
      <x:c r="H696" s="112" t="str">
        <x:v>작법·상업성</x:v>
      </x:c>
      <x:c r="I696" s="112" t="n">
        <x:v>1</x:v>
      </x:c>
      <x:c r="J696" s="112" t="str">
        <x:v>작법</x:v>
      </x:c>
      <x:c r="K696" s="112" t="str">
        <x:v>재게시</x:v>
      </x:c>
      <x:c r="L696" s="112" t="str">
        <x:v>높음</x:v>
      </x:c>
      <x:c r="M696" s="112" t="str">
        <x:v>제목의 펌/퍼옴 표시</x:v>
      </x:c>
      <x:c r="N696" s="116" t="str">
        <x:v>https://tips.clip-studio.com/ko-kr/articles/1250</x:v>
      </x:c>
      <x:c r="O696" s="116" t="str">
        <x:v>https://m.blog.naver.com/sntu2010/221424810694</x:v>
      </x:c>
      <x:c r="P696" s="112" t="str">
        <x:v>아니오</x:v>
      </x:c>
      <x:c r="Q696" s="113" t="str">
        <x:v>자동 분류·표본 검토 대상</x:v>
      </x:c>
    </x:row>
    <x:row r="697">
      <x:c r="A697" s="100" t="n">
        <x:v>696</x:v>
      </x:c>
      <x:c r="B697" s="101" t="n">
        <x:v>43455</x:v>
      </x:c>
      <x:c r="C697" s="102" t="n">
        <x:v>2018</x:v>
      </x:c>
      <x:c r="D697" s="103" t="str">
        <x:v>ID-221423968519</x:v>
      </x:c>
      <x:c r="E697" s="112" t="str">
        <x:v>[펌]클립스튜디오 고퀄 배경 채색 기법(5)</x:v>
      </x:c>
      <x:c r="F697" s="112" t="str">
        <x:v>웹툰작법</x:v>
      </x:c>
      <x:c r="G697" s="112" t="str">
        <x:v>웹툰 참고</x:v>
      </x:c>
      <x:c r="H697" s="112" t="str">
        <x:v>작법·상업성</x:v>
      </x:c>
      <x:c r="I697" s="112" t="n">
        <x:v>1</x:v>
      </x:c>
      <x:c r="J697" s="112" t="str">
        <x:v>작법</x:v>
      </x:c>
      <x:c r="K697" s="112" t="str">
        <x:v>재게시</x:v>
      </x:c>
      <x:c r="L697" s="112" t="str">
        <x:v>높음</x:v>
      </x:c>
      <x:c r="M697" s="112" t="str">
        <x:v>제목의 펌/퍼옴 표시</x:v>
      </x:c>
      <x:c r="N697" s="116" t="str">
        <x:v>https://tips.clip-studio.com/ko-kr/articles/1315</x:v>
      </x:c>
      <x:c r="O697" s="116" t="str">
        <x:v>https://m.blog.naver.com/sntu2010/221423968519</x:v>
      </x:c>
      <x:c r="P697" s="112" t="str">
        <x:v>아니오</x:v>
      </x:c>
      <x:c r="Q697" s="113" t="str">
        <x:v>자동 분류·표본 검토 대상</x:v>
      </x:c>
    </x:row>
    <x:row r="698">
      <x:c r="A698" s="100" t="n">
        <x:v>697</x:v>
      </x:c>
      <x:c r="B698" s="101" t="n">
        <x:v>43455</x:v>
      </x:c>
      <x:c r="C698" s="102" t="n">
        <x:v>2018</x:v>
      </x:c>
      <x:c r="D698" s="103" t="str">
        <x:v>ID-221423957984</x:v>
      </x:c>
      <x:c r="E698" s="112" t="str">
        <x:v>[펌]클립스튜디오 고퀄 배경 채색 기법(4)</x:v>
      </x:c>
      <x:c r="F698" s="112" t="str">
        <x:v>웹툰작법</x:v>
      </x:c>
      <x:c r="G698" s="112" t="str">
        <x:v>웹툰 참고</x:v>
      </x:c>
      <x:c r="H698" s="112" t="str">
        <x:v>작법·상업성</x:v>
      </x:c>
      <x:c r="I698" s="112" t="n">
        <x:v>1</x:v>
      </x:c>
      <x:c r="J698" s="112" t="str">
        <x:v>작법</x:v>
      </x:c>
      <x:c r="K698" s="112" t="str">
        <x:v>재게시</x:v>
      </x:c>
      <x:c r="L698" s="112" t="str">
        <x:v>높음</x:v>
      </x:c>
      <x:c r="M698" s="112" t="str">
        <x:v>제목의 펌/퍼옴 표시</x:v>
      </x:c>
      <x:c r="N698" s="116" t="str">
        <x:v>https://tips.clip-studio.com/ko-kr/articles/1310</x:v>
      </x:c>
      <x:c r="O698" s="116" t="str">
        <x:v>https://m.blog.naver.com/sntu2010/221423957984</x:v>
      </x:c>
      <x:c r="P698" s="112" t="str">
        <x:v>아니오</x:v>
      </x:c>
      <x:c r="Q698" s="113" t="str">
        <x:v>자동 분류·표본 검토 대상</x:v>
      </x:c>
    </x:row>
    <x:row r="699">
      <x:c r="A699" s="100" t="n">
        <x:v>698</x:v>
      </x:c>
      <x:c r="B699" s="101" t="n">
        <x:v>43455</x:v>
      </x:c>
      <x:c r="C699" s="102" t="n">
        <x:v>2018</x:v>
      </x:c>
      <x:c r="D699" s="103" t="str">
        <x:v>ID-221423953244</x:v>
      </x:c>
      <x:c r="E699" s="112" t="str">
        <x:v>[펌]클립스튜디오 고퀄 배경 채색 기법(3)</x:v>
      </x:c>
      <x:c r="F699" s="112" t="str">
        <x:v>웹툰작법</x:v>
      </x:c>
      <x:c r="G699" s="112" t="str">
        <x:v>웹툰 참고</x:v>
      </x:c>
      <x:c r="H699" s="112" t="str">
        <x:v>작법·상업성</x:v>
      </x:c>
      <x:c r="I699" s="112" t="n">
        <x:v>1</x:v>
      </x:c>
      <x:c r="J699" s="112" t="str">
        <x:v>작법</x:v>
      </x:c>
      <x:c r="K699" s="112" t="str">
        <x:v>재게시</x:v>
      </x:c>
      <x:c r="L699" s="112" t="str">
        <x:v>높음</x:v>
      </x:c>
      <x:c r="M699" s="112" t="str">
        <x:v>제목의 펌/퍼옴 표시</x:v>
      </x:c>
      <x:c r="N699" s="116" t="str">
        <x:v>https://tips.clip-studio.com/ko-kr/articles/1300</x:v>
      </x:c>
      <x:c r="O699" s="116" t="str">
        <x:v>https://m.blog.naver.com/sntu2010/221423953244</x:v>
      </x:c>
      <x:c r="P699" s="112" t="str">
        <x:v>아니오</x:v>
      </x:c>
      <x:c r="Q699" s="113" t="str">
        <x:v>자동 분류·표본 검토 대상</x:v>
      </x:c>
    </x:row>
    <x:row r="700">
      <x:c r="A700" s="100" t="n">
        <x:v>699</x:v>
      </x:c>
      <x:c r="B700" s="101" t="n">
        <x:v>43455</x:v>
      </x:c>
      <x:c r="C700" s="102" t="n">
        <x:v>2018</x:v>
      </x:c>
      <x:c r="D700" s="103" t="str">
        <x:v>ID-221423943663</x:v>
      </x:c>
      <x:c r="E700" s="112" t="str">
        <x:v>[펌]클립스튜디오 고퀄 배경 채색 기법(2)</x:v>
      </x:c>
      <x:c r="F700" s="112" t="str">
        <x:v>웹툰작법</x:v>
      </x:c>
      <x:c r="G700" s="112" t="str">
        <x:v>웹툰 참고</x:v>
      </x:c>
      <x:c r="H700" s="112" t="str">
        <x:v>작법·상업성</x:v>
      </x:c>
      <x:c r="I700" s="112" t="n">
        <x:v>1</x:v>
      </x:c>
      <x:c r="J700" s="112" t="str">
        <x:v>작법</x:v>
      </x:c>
      <x:c r="K700" s="112" t="str">
        <x:v>재게시</x:v>
      </x:c>
      <x:c r="L700" s="112" t="str">
        <x:v>높음</x:v>
      </x:c>
      <x:c r="M700" s="112" t="str">
        <x:v>제목의 펌/퍼옴 표시</x:v>
      </x:c>
      <x:c r="N700" s="116" t="str">
        <x:v>https://tips.clip-studio.com/ko-kr/articles/1280</x:v>
      </x:c>
      <x:c r="O700" s="116" t="str">
        <x:v>https://m.blog.naver.com/sntu2010/221423943663</x:v>
      </x:c>
      <x:c r="P700" s="112" t="str">
        <x:v>아니오</x:v>
      </x:c>
      <x:c r="Q700" s="113" t="str">
        <x:v>자동 분류·표본 검토 대상</x:v>
      </x:c>
    </x:row>
    <x:row r="701">
      <x:c r="A701" s="100" t="n">
        <x:v>700</x:v>
      </x:c>
      <x:c r="B701" s="101" t="n">
        <x:v>43455</x:v>
      </x:c>
      <x:c r="C701" s="102" t="n">
        <x:v>2018</x:v>
      </x:c>
      <x:c r="D701" s="103" t="str">
        <x:v>ID-221423938895</x:v>
      </x:c>
      <x:c r="E701" s="112" t="str">
        <x:v>[펌]클립스튜디오 고퀄 배경 채색 기법(1)</x:v>
      </x:c>
      <x:c r="F701" s="112" t="str">
        <x:v>웹툰작법</x:v>
      </x:c>
      <x:c r="G701" s="112" t="str">
        <x:v>웹툰 참고</x:v>
      </x:c>
      <x:c r="H701" s="112" t="str">
        <x:v>작법·상업성</x:v>
      </x:c>
      <x:c r="I701" s="112" t="n">
        <x:v>6</x:v>
      </x:c>
      <x:c r="J701" s="112" t="str">
        <x:v>설정, 작법</x:v>
      </x:c>
      <x:c r="K701" s="112" t="str">
        <x:v>재게시</x:v>
      </x:c>
      <x:c r="L701" s="112" t="str">
        <x:v>높음</x:v>
      </x:c>
      <x:c r="M701" s="112" t="str">
        <x:v>제목의 펌/퍼옴 표시</x:v>
      </x:c>
      <x:c r="N701" s="116" t="str">
        <x:v>https://tips.clip-studio.com/ko-kr/articles/1251</x:v>
      </x:c>
      <x:c r="O701" s="116" t="str">
        <x:v>https://m.blog.naver.com/sntu2010/221423938895</x:v>
      </x:c>
      <x:c r="P701" s="112" t="str">
        <x:v>아니오</x:v>
      </x:c>
      <x:c r="Q701" s="113" t="str">
        <x:v>자동 분류·표본 검토 대상</x:v>
      </x:c>
    </x:row>
    <x:row r="702">
      <x:c r="A702" s="100" t="n">
        <x:v>701</x:v>
      </x:c>
      <x:c r="B702" s="101" t="n">
        <x:v>43455</x:v>
      </x:c>
      <x:c r="C702" s="102" t="n">
        <x:v>2018</x:v>
      </x:c>
      <x:c r="D702" s="103" t="str">
        <x:v>ID-221423924585</x:v>
      </x:c>
      <x:c r="E702" s="112" t="str">
        <x:v>[펌]남희성 작가 웹소설 연재 질문과 답변</x:v>
      </x:c>
      <x:c r="F702" s="112" t="str">
        <x:v>웹소작법</x:v>
      </x:c>
      <x:c r="G702" s="112" t="str">
        <x:v>웹소설 직접</x:v>
      </x:c>
      <x:c r="H702" s="112" t="str">
        <x:v>작법·상업성</x:v>
      </x:c>
      <x:c r="I702" s="112" t="n">
        <x:v>1</x:v>
      </x:c>
      <x:c r="J702" s="112" t="str">
        <x:v>작법</x:v>
      </x:c>
      <x:c r="K702" s="112" t="str">
        <x:v>재게시</x:v>
      </x:c>
      <x:c r="L702" s="112" t="str">
        <x:v>높음</x:v>
      </x:c>
      <x:c r="M702" s="112" t="str">
        <x:v>제목의 펌/퍼옴 표시</x:v>
      </x:c>
      <x:c r="N702" s="116" t="str">
        <x:v>http://gall.dcinside.com/mgallery/board/view/?id=tgijjdd&amp;no=66026</x:v>
      </x:c>
      <x:c r="O702" s="116" t="str">
        <x:v>https://m.blog.naver.com/sntu2010/221423924585</x:v>
      </x:c>
      <x:c r="P702" s="112" t="str">
        <x:v>아니오</x:v>
      </x:c>
      <x:c r="Q702" s="113" t="str">
        <x:v>자동 분류·표본 검토 대상</x:v>
      </x:c>
    </x:row>
    <x:row r="703">
      <x:c r="A703" s="100" t="n">
        <x:v>702</x:v>
      </x:c>
      <x:c r="B703" s="101" t="n">
        <x:v>43455</x:v>
      </x:c>
      <x:c r="C703" s="102" t="n">
        <x:v>2018</x:v>
      </x:c>
      <x:c r="D703" s="103" t="str">
        <x:v>ID-221423922642</x:v>
      </x:c>
      <x:c r="E703" s="112" t="str">
        <x:v>[펌]강산 작가의 웹소설 연재 팁</x:v>
      </x:c>
      <x:c r="F703" s="112" t="str">
        <x:v>웹소작법</x:v>
      </x:c>
      <x:c r="G703" s="112" t="str">
        <x:v>웹소설 직접</x:v>
      </x:c>
      <x:c r="H703" s="112" t="str">
        <x:v>캐릭터·전개</x:v>
      </x:c>
      <x:c r="I703" s="112" t="n">
        <x:v>8</x:v>
      </x:c>
      <x:c r="J703" s="112" t="str">
        <x:v>주인공, 사건, 조연</x:v>
      </x:c>
      <x:c r="K703" s="112" t="str">
        <x:v>재게시</x:v>
      </x:c>
      <x:c r="L703" s="112" t="str">
        <x:v>높음</x:v>
      </x:c>
      <x:c r="M703" s="112" t="str">
        <x:v>제목의 펌/퍼옴 표시</x:v>
      </x:c>
      <x:c r="N703" s="116" t="str">
        <x:v>http://gall.dcinside.com/mgallery/board/lists?id=tgijjdd</x:v>
      </x:c>
      <x:c r="O703" s="116" t="str">
        <x:v>https://m.blog.naver.com/sntu2010/221423922642</x:v>
      </x:c>
      <x:c r="P703" s="112" t="str">
        <x:v>예</x:v>
      </x:c>
      <x:c r="Q703" s="113" t="str">
        <x:v>자동 분류·표본 검토 대상</x:v>
      </x:c>
    </x:row>
    <x:row r="704">
      <x:c r="A704" s="100" t="n">
        <x:v>703</x:v>
      </x:c>
      <x:c r="B704" s="101" t="n">
        <x:v>43453</x:v>
      </x:c>
      <x:c r="C704" s="102" t="n">
        <x:v>2018</x:v>
      </x:c>
      <x:c r="D704" s="103" t="str">
        <x:v>ID-221422526705</x:v>
      </x:c>
      <x:c r="E704" s="112" t="str">
        <x:v>[펌]작가분들이 많이 물어보는 세금신고 방법</x:v>
      </x:c>
      <x:c r="F704" s="112" t="str">
        <x:v>웹소작법</x:v>
      </x:c>
      <x:c r="G704" s="112" t="str">
        <x:v>웹소설 직접</x:v>
      </x:c>
      <x:c r="H704" s="112" t="str">
        <x:v>수익·운영</x:v>
      </x:c>
      <x:c r="I704" s="112" t="n">
        <x:v>24</x:v>
      </x:c>
      <x:c r="J704" s="112" t="str">
        <x:v>세금, 수익, 금액, 수입, 매출</x:v>
      </x:c>
      <x:c r="K704" s="112" t="str">
        <x:v>재게시</x:v>
      </x:c>
      <x:c r="L704" s="112" t="str">
        <x:v>높음</x:v>
      </x:c>
      <x:c r="M704" s="112" t="str">
        <x:v>제목의 펌/퍼옴 표시</x:v>
      </x:c>
      <x:c r="N704" s="116" t="str">
        <x:v>http://gall.dcinside.com/mgallery/board/view/?id=tgijjdd&amp;no=69658&amp;exception_mode=recommend&amp;page=1</x:v>
      </x:c>
      <x:c r="O704" s="116" t="str">
        <x:v>https://m.blog.naver.com/sntu2010/221422526705</x:v>
      </x:c>
      <x:c r="P704" s="112" t="str">
        <x:v>예</x:v>
      </x:c>
      <x:c r="Q704" s="113" t="str">
        <x:v>자동 분류·표본 검토 대상</x:v>
      </x:c>
    </x:row>
    <x:row r="705">
      <x:c r="A705" s="100" t="n">
        <x:v>704</x:v>
      </x:c>
      <x:c r="B705" s="101" t="n">
        <x:v>43450</x:v>
      </x:c>
      <x:c r="C705" s="102" t="n">
        <x:v>2018</x:v>
      </x:c>
      <x:c r="D705" s="103" t="str">
        <x:v>ID-221420510249</x:v>
      </x:c>
      <x:c r="E705" s="112" t="str">
        <x:v>[펌]신카이마코토 스타일 배경 채색2</x:v>
      </x:c>
      <x:c r="F705" s="112" t="str">
        <x:v>웹툰작법</x:v>
      </x:c>
      <x:c r="G705" s="112" t="str">
        <x:v>웹툰 참고</x:v>
      </x:c>
      <x:c r="H705" s="112" t="str">
        <x:v>작법·상업성</x:v>
      </x:c>
      <x:c r="I705" s="112" t="n">
        <x:v>1</x:v>
      </x:c>
      <x:c r="J705" s="112" t="str">
        <x:v>작법</x:v>
      </x:c>
      <x:c r="K705" s="112" t="str">
        <x:v>재게시</x:v>
      </x:c>
      <x:c r="L705" s="112" t="str">
        <x:v>높음</x:v>
      </x:c>
      <x:c r="M705" s="112" t="str">
        <x:v>제목의 펌/퍼옴 표시</x:v>
      </x:c>
      <x:c r="N705" s="116" t="str">
        <x:v>http://www.mclelun.com/2015/10/anime-background-tutorial.html</x:v>
      </x:c>
      <x:c r="O705" s="116" t="str">
        <x:v>https://m.blog.naver.com/sntu2010/221420510249</x:v>
      </x:c>
      <x:c r="P705" s="112" t="str">
        <x:v>아니오</x:v>
      </x:c>
      <x:c r="Q705" s="113" t="str">
        <x:v>자동 분류·표본 검토 대상</x:v>
      </x:c>
    </x:row>
    <x:row r="706">
      <x:c r="A706" s="100" t="n">
        <x:v>705</x:v>
      </x:c>
      <x:c r="B706" s="101" t="n">
        <x:v>43450</x:v>
      </x:c>
      <x:c r="C706" s="102" t="n">
        <x:v>2018</x:v>
      </x:c>
      <x:c r="D706" s="103" t="str">
        <x:v>ID-221420504261</x:v>
      </x:c>
      <x:c r="E706" s="112" t="str">
        <x:v>[펌]신카이마코토 스타일 배경 채색</x:v>
      </x:c>
      <x:c r="F706" s="112" t="str">
        <x:v>웹툰작법</x:v>
      </x:c>
      <x:c r="G706" s="112" t="str">
        <x:v>웹툰 참고</x:v>
      </x:c>
      <x:c r="H706" s="112" t="str">
        <x:v>작법·상업성</x:v>
      </x:c>
      <x:c r="I706" s="112" t="n">
        <x:v>1</x:v>
      </x:c>
      <x:c r="J706" s="112" t="str">
        <x:v>작법</x:v>
      </x:c>
      <x:c r="K706" s="112" t="str">
        <x:v>재게시</x:v>
      </x:c>
      <x:c r="L706" s="112" t="str">
        <x:v>높음</x:v>
      </x:c>
      <x:c r="M706" s="112" t="str">
        <x:v>제목의 펌/퍼옴 표시</x:v>
      </x:c>
      <x:c r="N706" s="116" t="str">
        <x:v>http://www.mclelun.com/2017/06/painting-makoto-shinkai-style-anime.html</x:v>
      </x:c>
      <x:c r="O706" s="116" t="str">
        <x:v>https://m.blog.naver.com/sntu2010/221420504261</x:v>
      </x:c>
      <x:c r="P706" s="112" t="str">
        <x:v>아니오</x:v>
      </x:c>
      <x:c r="Q706" s="113" t="str">
        <x:v>자동 분류·표본 검토 대상</x:v>
      </x:c>
    </x:row>
    <x:row r="707">
      <x:c r="A707" s="100" t="n">
        <x:v>706</x:v>
      </x:c>
      <x:c r="B707" s="101" t="n">
        <x:v>43449</x:v>
      </x:c>
      <x:c r="C707" s="102" t="n">
        <x:v>2018</x:v>
      </x:c>
      <x:c r="D707" s="103" t="str">
        <x:v>ID-221419978330</x:v>
      </x:c>
      <x:c r="E707" s="112" t="str">
        <x:v>[펌]글을 쓰다가 안 써질 때 해결방법</x:v>
      </x:c>
      <x:c r="F707" s="112" t="str">
        <x:v>웹소작법</x:v>
      </x:c>
      <x:c r="G707" s="112" t="str">
        <x:v>웹소설 직접</x:v>
      </x:c>
      <x:c r="H707" s="112" t="str">
        <x:v>캐릭터·전개</x:v>
      </x:c>
      <x:c r="I707" s="112" t="n">
        <x:v>5</x:v>
      </x:c>
      <x:c r="J707" s="112" t="str">
        <x:v>사건, 시점</x:v>
      </x:c>
      <x:c r="K707" s="112" t="str">
        <x:v>재게시</x:v>
      </x:c>
      <x:c r="L707" s="112" t="str">
        <x:v>높음</x:v>
      </x:c>
      <x:c r="M707" s="112" t="str">
        <x:v>제목의 펌/퍼옴 표시</x:v>
      </x:c>
      <x:c r="N707" s="116" t="str">
        <x:v>http://gall.dcinside.com/mgallery/board/view/?id=tgijjdd&amp;no=68795&amp;exception_mode=recommend&amp;page=1</x:v>
      </x:c>
      <x:c r="O707" s="116" t="str">
        <x:v>https://m.blog.naver.com/sntu2010/221419978330</x:v>
      </x:c>
      <x:c r="P707" s="112" t="str">
        <x:v>아니오</x:v>
      </x:c>
      <x:c r="Q707" s="113" t="str">
        <x:v>자동 분류·표본 검토 대상</x:v>
      </x:c>
    </x:row>
    <x:row r="708">
      <x:c r="A708" s="100" t="n">
        <x:v>707</x:v>
      </x:c>
      <x:c r="B708" s="101" t="n">
        <x:v>43449</x:v>
      </x:c>
      <x:c r="C708" s="102" t="n">
        <x:v>2018</x:v>
      </x:c>
      <x:c r="D708" s="103" t="str">
        <x:v>ID-221419976413</x:v>
      </x:c>
      <x:c r="E708" s="112" t="str">
        <x:v>[펌]웹소설 연재 할 때 쓸만한 실전 팁</x:v>
      </x:c>
      <x:c r="F708" s="112" t="str">
        <x:v>웹소작법</x:v>
      </x:c>
      <x:c r="G708" s="112" t="str">
        <x:v>웹소설 직접</x:v>
      </x:c>
      <x:c r="H708" s="112" t="str">
        <x:v>작법·상업성</x:v>
      </x:c>
      <x:c r="I708" s="112" t="n">
        <x:v>5</x:v>
      </x:c>
      <x:c r="J708" s="112" t="str">
        <x:v>독자, 묘사, 작법</x:v>
      </x:c>
      <x:c r="K708" s="112" t="str">
        <x:v>재게시</x:v>
      </x:c>
      <x:c r="L708" s="112" t="str">
        <x:v>높음</x:v>
      </x:c>
      <x:c r="M708" s="112" t="str">
        <x:v>제목의 펌/퍼옴 표시</x:v>
      </x:c>
      <x:c r="N708" s="116" t="str">
        <x:v>http://gall.dcinside.com/mgallery/board/view/?id=tgijjdd&amp;no=68709&amp;exception_mode=recommend&amp;page=1</x:v>
      </x:c>
      <x:c r="O708" s="116" t="str">
        <x:v>https://m.blog.naver.com/sntu2010/221419976413</x:v>
      </x:c>
      <x:c r="P708" s="112" t="str">
        <x:v>아니오</x:v>
      </x:c>
      <x:c r="Q708" s="113" t="str">
        <x:v>자동 분류·표본 검토 대상</x:v>
      </x:c>
    </x:row>
    <x:row r="709">
      <x:c r="A709" s="100" t="n">
        <x:v>708</x:v>
      </x:c>
      <x:c r="B709" s="101" t="n">
        <x:v>43448</x:v>
      </x:c>
      <x:c r="C709" s="102" t="n">
        <x:v>2018</x:v>
      </x:c>
      <x:c r="D709" s="103" t="str">
        <x:v>ID-221419325542</x:v>
      </x:c>
      <x:c r="E709" s="112" t="str">
        <x:v>[펌]인기 웹소설 '소설 속 엑스트라' 분석 글</x:v>
      </x:c>
      <x:c r="F709" s="112" t="str">
        <x:v>웹소작법</x:v>
      </x:c>
      <x:c r="G709" s="112" t="str">
        <x:v>웹소설 직접</x:v>
      </x:c>
      <x:c r="H709" s="112" t="str">
        <x:v>캐릭터·전개</x:v>
      </x:c>
      <x:c r="I709" s="112" t="n">
        <x:v>7</x:v>
      </x:c>
      <x:c r="J709" s="112" t="str">
        <x:v>주인공, 관계, 인물</x:v>
      </x:c>
      <x:c r="K709" s="112" t="str">
        <x:v>재게시</x:v>
      </x:c>
      <x:c r="L709" s="112" t="str">
        <x:v>높음</x:v>
      </x:c>
      <x:c r="M709" s="112" t="str">
        <x:v>제목의 펌/퍼옴 표시</x:v>
      </x:c>
      <x:c r="N709" s="116" t="str">
        <x:v>http://gall.dcinside.com/mgallery/board/view/?id=tgijjdd&amp;no=68196&amp;exception_mode=recommend&amp;page=1</x:v>
      </x:c>
      <x:c r="O709" s="116" t="str">
        <x:v>https://m.blog.naver.com/sntu2010/221419325542</x:v>
      </x:c>
      <x:c r="P709" s="112" t="str">
        <x:v>예</x:v>
      </x:c>
      <x:c r="Q709" s="113" t="str">
        <x:v>자동 분류·표본 검토 대상</x:v>
      </x:c>
    </x:row>
    <x:row r="710">
      <x:c r="A710" s="100" t="n">
        <x:v>709</x:v>
      </x:c>
      <x:c r="B710" s="101" t="n">
        <x:v>43448</x:v>
      </x:c>
      <x:c r="C710" s="102" t="n">
        <x:v>2018</x:v>
      </x:c>
      <x:c r="D710" s="103" t="str">
        <x:v>ID-221419323380</x:v>
      </x:c>
      <x:c r="E710" s="112" t="str">
        <x:v>[펌]흥행하는 웹소설 장르를 찾아 써보자</x:v>
      </x:c>
      <x:c r="F710" s="112" t="str">
        <x:v>웹소작법</x:v>
      </x:c>
      <x:c r="G710" s="112" t="str">
        <x:v>웹소설 직접</x:v>
      </x:c>
      <x:c r="H710" s="112" t="str">
        <x:v>작법·상업성</x:v>
      </x:c>
      <x:c r="I710" s="112" t="n">
        <x:v>43</x:v>
      </x:c>
      <x:c r="J710" s="112" t="str">
        <x:v>흥행, 장르, 트렌드, 작법</x:v>
      </x:c>
      <x:c r="K710" s="112" t="str">
        <x:v>재게시</x:v>
      </x:c>
      <x:c r="L710" s="112" t="str">
        <x:v>높음</x:v>
      </x:c>
      <x:c r="M710" s="112" t="str">
        <x:v>제목의 펌/퍼옴 표시</x:v>
      </x:c>
      <x:c r="N710" s="116" t="str">
        <x:v>http://gall.dcinside.com/mgallery/board/view/?id=tgijjdd&amp;no=68257&amp;exception_mode=recommend&amp;page=1</x:v>
      </x:c>
      <x:c r="O710" s="116" t="str">
        <x:v>https://m.blog.naver.com/sntu2010/221419323380</x:v>
      </x:c>
      <x:c r="P710" s="112" t="str">
        <x:v>예</x:v>
      </x:c>
      <x:c r="Q710" s="113" t="str">
        <x:v>자동 분류·표본 검토 대상</x:v>
      </x:c>
    </x:row>
    <x:row r="711">
      <x:c r="A711" s="100" t="n">
        <x:v>710</x:v>
      </x:c>
      <x:c r="B711" s="101" t="n">
        <x:v>43445</x:v>
      </x:c>
      <x:c r="C711" s="102" t="n">
        <x:v>2018</x:v>
      </x:c>
      <x:c r="D711" s="103" t="str">
        <x:v>ID-221417128602</x:v>
      </x:c>
      <x:c r="E711" s="112" t="str">
        <x:v>[펌]적어도 중간은 가는 글쓰기법</x:v>
      </x:c>
      <x:c r="F711" s="112" t="str">
        <x:v>웹소작법</x:v>
      </x:c>
      <x:c r="G711" s="112" t="str">
        <x:v>웹소설 직접</x:v>
      </x:c>
      <x:c r="H711" s="112" t="str">
        <x:v>작법·상업성</x:v>
      </x:c>
      <x:c r="I711" s="112" t="n">
        <x:v>22</x:v>
      </x:c>
      <x:c r="J711" s="112" t="str">
        <x:v>글쓰기, 소재, 작법</x:v>
      </x:c>
      <x:c r="K711" s="112" t="str">
        <x:v>재게시</x:v>
      </x:c>
      <x:c r="L711" s="112" t="str">
        <x:v>높음</x:v>
      </x:c>
      <x:c r="M711" s="112" t="str">
        <x:v>제목의 펌/퍼옴 표시</x:v>
      </x:c>
      <x:c r="N711" s="116" t="str">
        <x:v>http://gall.dcinside.com/mgallery/board/view/?id=tgijjdd&amp;no=66987&amp;exception_mode=recommend&amp;page=1</x:v>
      </x:c>
      <x:c r="O711" s="116" t="str">
        <x:v>https://m.blog.naver.com/sntu2010/221417128602</x:v>
      </x:c>
      <x:c r="P711" s="112" t="str">
        <x:v>예</x:v>
      </x:c>
      <x:c r="Q711" s="113" t="str">
        <x:v>자동 분류·표본 검토 대상</x:v>
      </x:c>
    </x:row>
    <x:row r="712">
      <x:c r="A712" s="100" t="n">
        <x:v>711</x:v>
      </x:c>
      <x:c r="B712" s="101" t="n">
        <x:v>43445</x:v>
      </x:c>
      <x:c r="C712" s="102" t="n">
        <x:v>2018</x:v>
      </x:c>
      <x:c r="D712" s="103" t="str">
        <x:v>ID-221417127033</x:v>
      </x:c>
      <x:c r="E712" s="112" t="str">
        <x:v>[펌]문체에 관한 팁</x:v>
      </x:c>
      <x:c r="F712" s="112" t="str">
        <x:v>웹소작법</x:v>
      </x:c>
      <x:c r="G712" s="112" t="str">
        <x:v>웹소설 직접</x:v>
      </x:c>
      <x:c r="H712" s="112" t="str">
        <x:v>작법·상업성</x:v>
      </x:c>
      <x:c r="I712" s="112" t="n">
        <x:v>3</x:v>
      </x:c>
      <x:c r="J712" s="112" t="str">
        <x:v>문장, 독자, 작법</x:v>
      </x:c>
      <x:c r="K712" s="112" t="str">
        <x:v>재게시</x:v>
      </x:c>
      <x:c r="L712" s="112" t="str">
        <x:v>높음</x:v>
      </x:c>
      <x:c r="M712" s="112" t="str">
        <x:v>제목의 펌/퍼옴 표시</x:v>
      </x:c>
      <x:c r="N712" s="116" t="str">
        <x:v>http://gall.dcinside.com/mgallery/board/view/?id=tgijjdd&amp;no=67066&amp;exception_mode=recommend&amp;page=1</x:v>
      </x:c>
      <x:c r="O712" s="116" t="str">
        <x:v>https://m.blog.naver.com/sntu2010/221417127033</x:v>
      </x:c>
      <x:c r="P712" s="112" t="str">
        <x:v>아니오</x:v>
      </x:c>
      <x:c r="Q712" s="113" t="str">
        <x:v>자동 분류·표본 검토 대상</x:v>
      </x:c>
    </x:row>
    <x:row r="713">
      <x:c r="A713" s="100" t="n">
        <x:v>712</x:v>
      </x:c>
      <x:c r="B713" s="101" t="n">
        <x:v>43440</x:v>
      </x:c>
      <x:c r="C713" s="102" t="n">
        <x:v>2018</x:v>
      </x:c>
      <x:c r="D713" s="103" t="str">
        <x:v>ID-221414016534</x:v>
      </x:c>
      <x:c r="E713" s="112" t="str">
        <x:v>[펌]최고가 될 게 아닌 이상 재능은 필요없다</x:v>
      </x:c>
      <x:c r="F713" s="112" t="str">
        <x:v>웹소작법</x:v>
      </x:c>
      <x:c r="G713" s="112" t="str">
        <x:v>웹소설 직접</x:v>
      </x:c>
      <x:c r="H713" s="112" t="str">
        <x:v>플랫폼·투고·계약</x:v>
      </x:c>
      <x:c r="I713" s="112" t="n">
        <x:v>3</x:v>
      </x:c>
      <x:c r="J713" s="112" t="str">
        <x:v>문피아, 카카오, 조아라</x:v>
      </x:c>
      <x:c r="K713" s="112" t="str">
        <x:v>재게시</x:v>
      </x:c>
      <x:c r="L713" s="112" t="str">
        <x:v>높음</x:v>
      </x:c>
      <x:c r="M713" s="112" t="str">
        <x:v>제목의 펌/퍼옴 표시</x:v>
      </x:c>
      <x:c r="N713" s="116" t="str">
        <x:v>http://gall.dcinside.com/mgallery/board/view/?id=tgijjdd&amp;no=65707&amp;exception_mode=recommend&amp;page=1</x:v>
      </x:c>
      <x:c r="O713" s="116" t="str">
        <x:v>https://m.blog.naver.com/sntu2010/221414016534</x:v>
      </x:c>
      <x:c r="P713" s="112" t="str">
        <x:v>아니오</x:v>
      </x:c>
      <x:c r="Q713" s="113" t="str">
        <x:v>자동 분류·표본 검토 대상</x:v>
      </x:c>
    </x:row>
    <x:row r="714">
      <x:c r="A714" s="100" t="n">
        <x:v>713</x:v>
      </x:c>
      <x:c r="B714" s="101" t="n">
        <x:v>43440</x:v>
      </x:c>
      <x:c r="C714" s="102" t="n">
        <x:v>2018</x:v>
      </x:c>
      <x:c r="D714" s="103" t="str">
        <x:v>ID-221414014864</x:v>
      </x:c>
      <x:c r="E714" s="112" t="str">
        <x:v>[펌]명작이냐 다작이냐는 선택이 아니다</x:v>
      </x:c>
      <x:c r="F714" s="112" t="str">
        <x:v>웹소작법</x:v>
      </x:c>
      <x:c r="G714" s="112" t="str">
        <x:v>웹소설 직접</x:v>
      </x:c>
      <x:c r="H714" s="112" t="str">
        <x:v>초반부/연독률</x:v>
      </x:c>
      <x:c r="I714" s="112" t="n">
        <x:v>2</x:v>
      </x:c>
      <x:c r="J714" s="112" t="str">
        <x:v>구매수</x:v>
      </x:c>
      <x:c r="K714" s="112" t="str">
        <x:v>재게시</x:v>
      </x:c>
      <x:c r="L714" s="112" t="str">
        <x:v>높음</x:v>
      </x:c>
      <x:c r="M714" s="112" t="str">
        <x:v>제목의 펌/퍼옴 표시</x:v>
      </x:c>
      <x:c r="N714" s="116" t="str">
        <x:v>http://gall.dcinside.com/mgallery/board/view/?id=tgijjdd&amp;no=65775&amp;exception_mode=recommend&amp;page=1</x:v>
      </x:c>
      <x:c r="O714" s="116" t="str">
        <x:v>https://m.blog.naver.com/sntu2010/221414014864</x:v>
      </x:c>
      <x:c r="P714" s="112" t="str">
        <x:v>아니오</x:v>
      </x:c>
      <x:c r="Q714" s="113" t="str">
        <x:v>자동 분류·표본 검토 대상</x:v>
      </x:c>
    </x:row>
    <x:row r="715">
      <x:c r="A715" s="100" t="n">
        <x:v>714</x:v>
      </x:c>
      <x:c r="B715" s="101" t="n">
        <x:v>43440</x:v>
      </x:c>
      <x:c r="C715" s="102" t="n">
        <x:v>2018</x:v>
      </x:c>
      <x:c r="D715" s="103" t="str">
        <x:v>ID-221413779345</x:v>
      </x:c>
      <x:c r="E715" s="112" t="str">
        <x:v>[펌]웹소설 작가 지망생 필독 TIP 몇 가지</x:v>
      </x:c>
      <x:c r="F715" s="112" t="str">
        <x:v>웹소작법</x:v>
      </x:c>
      <x:c r="G715" s="112" t="str">
        <x:v>웹소설 직접</x:v>
      </x:c>
      <x:c r="H715" s="112" t="str">
        <x:v>캐릭터·전개</x:v>
      </x:c>
      <x:c r="I715" s="112" t="n">
        <x:v>6</x:v>
      </x:c>
      <x:c r="J715" s="112" t="str">
        <x:v>주인공, 캐릭터</x:v>
      </x:c>
      <x:c r="K715" s="112" t="str">
        <x:v>재게시</x:v>
      </x:c>
      <x:c r="L715" s="112" t="str">
        <x:v>높음</x:v>
      </x:c>
      <x:c r="M715" s="112" t="str">
        <x:v>제목의 펌/퍼옴 표시</x:v>
      </x:c>
      <x:c r="N715" s="116" t="str">
        <x:v>http://gall.dcinside.com/mgallery/board/view/?id=tgijjdd&amp;no=65508&amp;exception_mode=recommend&amp;page=1</x:v>
      </x:c>
      <x:c r="O715" s="116" t="str">
        <x:v>https://m.blog.naver.com/sntu2010/221413779345</x:v>
      </x:c>
      <x:c r="P715" s="112" t="str">
        <x:v>예</x:v>
      </x:c>
      <x:c r="Q715" s="113" t="str">
        <x:v>자동 분류·표본 검토 대상</x:v>
      </x:c>
    </x:row>
    <x:row r="716">
      <x:c r="A716" s="100" t="n">
        <x:v>715</x:v>
      </x:c>
      <x:c r="B716" s="101" t="n">
        <x:v>43439</x:v>
      </x:c>
      <x:c r="C716" s="102" t="n">
        <x:v>2018</x:v>
      </x:c>
      <x:c r="D716" s="103" t="str">
        <x:v>ID-221413020065</x:v>
      </x:c>
      <x:c r="E716" s="112" t="str">
        <x:v>[펌]문피아 유료전환에 필요한 데이터 및 하위 유료화 작품 수입</x:v>
      </x:c>
      <x:c r="F716" s="112" t="str">
        <x:v>웹소작법</x:v>
      </x:c>
      <x:c r="G716" s="112" t="str">
        <x:v>웹소설 직접</x:v>
      </x:c>
      <x:c r="H716" s="112" t="str">
        <x:v>초반부/연독률</x:v>
      </x:c>
      <x:c r="I716" s="112" t="n">
        <x:v>28</x:v>
      </x:c>
      <x:c r="J716" s="112" t="str">
        <x:v>유료화, 조회수, 연독</x:v>
      </x:c>
      <x:c r="K716" s="112" t="str">
        <x:v>재게시</x:v>
      </x:c>
      <x:c r="L716" s="112" t="str">
        <x:v>높음</x:v>
      </x:c>
      <x:c r="M716" s="112" t="str">
        <x:v>제목의 펌/퍼옴 표시</x:v>
      </x:c>
      <x:c r="N716" s="116" t="str">
        <x:v>http://gall.dcinside.com/mgallery/board/view/?id=tgijjdd&amp;no=65098&amp;exception_mode=recommend&amp;page=1</x:v>
      </x:c>
      <x:c r="O716" s="116" t="str">
        <x:v>https://m.blog.naver.com/sntu2010/221413020065</x:v>
      </x:c>
      <x:c r="P716" s="112" t="str">
        <x:v>예</x:v>
      </x:c>
      <x:c r="Q716" s="113" t="str">
        <x:v>자동 분류·표본 검토 대상</x:v>
      </x:c>
    </x:row>
    <x:row r="717">
      <x:c r="A717" s="100" t="n">
        <x:v>716</x:v>
      </x:c>
      <x:c r="B717" s="101" t="n">
        <x:v>43438</x:v>
      </x:c>
      <x:c r="C717" s="102" t="n">
        <x:v>2018</x:v>
      </x:c>
      <x:c r="D717" s="103" t="str">
        <x:v>ID-221412605156</x:v>
      </x:c>
      <x:c r="E717" s="112" t="str">
        <x:v>[펌]헌터물 클리셰 조사하면서 정리한거</x:v>
      </x:c>
      <x:c r="F717" s="112" t="str">
        <x:v>웹소작법</x:v>
      </x:c>
      <x:c r="G717" s="112" t="str">
        <x:v>웹소설 직접</x:v>
      </x:c>
      <x:c r="H717" s="112" t="str">
        <x:v>작법·상업성</x:v>
      </x:c>
      <x:c r="I717" s="112" t="n">
        <x:v>23</x:v>
      </x:c>
      <x:c r="J717" s="112" t="str">
        <x:v>클리셰, 사이다, 작법</x:v>
      </x:c>
      <x:c r="K717" s="112" t="str">
        <x:v>재게시</x:v>
      </x:c>
      <x:c r="L717" s="112" t="str">
        <x:v>높음</x:v>
      </x:c>
      <x:c r="M717" s="112" t="str">
        <x:v>제목의 펌/퍼옴 표시</x:v>
      </x:c>
      <x:c r="N717" s="116" t="str">
        <x:v>http://gall.dcinside.com/mgallery/board/view/?id=tgijjdd&amp;no=64905&amp;exception_mode=recommend&amp;page=1</x:v>
      </x:c>
      <x:c r="O717" s="116" t="str">
        <x:v>https://m.blog.naver.com/sntu2010/221412605156</x:v>
      </x:c>
      <x:c r="P717" s="112" t="str">
        <x:v>예</x:v>
      </x:c>
      <x:c r="Q717" s="113" t="str">
        <x:v>자동 분류·표본 검토 대상</x:v>
      </x:c>
    </x:row>
    <x:row r="718">
      <x:c r="A718" s="100" t="n">
        <x:v>717</x:v>
      </x:c>
      <x:c r="B718" s="101" t="n">
        <x:v>43433</x:v>
      </x:c>
      <x:c r="C718" s="102" t="n">
        <x:v>2018</x:v>
      </x:c>
      <x:c r="D718" s="103" t="str">
        <x:v>ID-221409142759</x:v>
      </x:c>
      <x:c r="E718" s="112" t="str">
        <x:v>[펌]작가 지망생들이 글 쓸때 착각하는게 있다</x:v>
      </x:c>
      <x:c r="F718" s="112" t="str">
        <x:v>웹소작법</x:v>
      </x:c>
      <x:c r="G718" s="112" t="str">
        <x:v>웹소설 직접</x:v>
      </x:c>
      <x:c r="H718" s="112" t="str">
        <x:v>작법·상업성</x:v>
      </x:c>
      <x:c r="I718" s="112" t="n">
        <x:v>6</x:v>
      </x:c>
      <x:c r="J718" s="112" t="str">
        <x:v>소재, 제목, 문장, 기대감, 작법</x:v>
      </x:c>
      <x:c r="K718" s="112" t="str">
        <x:v>재게시</x:v>
      </x:c>
      <x:c r="L718" s="112" t="str">
        <x:v>높음</x:v>
      </x:c>
      <x:c r="M718" s="112" t="str">
        <x:v>제목의 펌/퍼옴 표시</x:v>
      </x:c>
      <x:c r="N718" s="116" t="str">
        <x:v>http://gall.dcinside.com/mgallery/board/view/?id=tgijjdd&amp;no=63062&amp;exception_mode=recommend&amp;page=1</x:v>
      </x:c>
      <x:c r="O718" s="116" t="str">
        <x:v>https://m.blog.naver.com/sntu2010/221409142759</x:v>
      </x:c>
      <x:c r="P718" s="112" t="str">
        <x:v>예</x:v>
      </x:c>
      <x:c r="Q718" s="113" t="str">
        <x:v>자동 분류·표본 검토 대상</x:v>
      </x:c>
    </x:row>
    <x:row r="719">
      <x:c r="A719" s="100" t="n">
        <x:v>718</x:v>
      </x:c>
      <x:c r="B719" s="101" t="n">
        <x:v>43433</x:v>
      </x:c>
      <x:c r="C719" s="102" t="n">
        <x:v>2018</x:v>
      </x:c>
      <x:c r="D719" s="103" t="str">
        <x:v>ID-221409141810</x:v>
      </x:c>
      <x:c r="E719" s="112" t="str">
        <x:v>[펌]써도 써도 안되는 경우(노경찬 작가님)</x:v>
      </x:c>
      <x:c r="F719" s="112" t="str">
        <x:v>웹소작법</x:v>
      </x:c>
      <x:c r="G719" s="112" t="str">
        <x:v>웹소설 직접</x:v>
      </x:c>
      <x:c r="H719" s="112" t="str">
        <x:v>작법·상업성</x:v>
      </x:c>
      <x:c r="I719" s="112" t="n">
        <x:v>1</x:v>
      </x:c>
      <x:c r="J719" s="112" t="str">
        <x:v>작법</x:v>
      </x:c>
      <x:c r="K719" s="112" t="str">
        <x:v>재게시</x:v>
      </x:c>
      <x:c r="L719" s="112" t="str">
        <x:v>높음</x:v>
      </x:c>
      <x:c r="M719" s="112" t="str">
        <x:v>제목의 펌/퍼옴 표시</x:v>
      </x:c>
      <x:c r="N719" s="116" t="str">
        <x:v>http://gall.dcinside.com/mgallery/board/view/?id=tgijjdd&amp;no=63023&amp;exception_mode=recommend&amp;page=1</x:v>
      </x:c>
      <x:c r="O719" s="116" t="str">
        <x:v>https://m.blog.naver.com/sntu2010/221409141810</x:v>
      </x:c>
      <x:c r="P719" s="112" t="str">
        <x:v>아니오</x:v>
      </x:c>
      <x:c r="Q719" s="113" t="str">
        <x:v>자동 분류·표본 검토 대상</x:v>
      </x:c>
    </x:row>
    <x:row r="720">
      <x:c r="A720" s="100" t="n">
        <x:v>719</x:v>
      </x:c>
      <x:c r="B720" s="101" t="n">
        <x:v>43433</x:v>
      </x:c>
      <x:c r="C720" s="102" t="n">
        <x:v>2018</x:v>
      </x:c>
      <x:c r="D720" s="103" t="str">
        <x:v>ID-221409140260</x:v>
      </x:c>
      <x:c r="E720" s="112" t="str">
        <x:v>[펌]웹소설 작가 지망생을 위한 연재 팁</x:v>
      </x:c>
      <x:c r="F720" s="112" t="str">
        <x:v>웹소작법</x:v>
      </x:c>
      <x:c r="G720" s="112" t="str">
        <x:v>웹소설 직접</x:v>
      </x:c>
      <x:c r="H720" s="112" t="str">
        <x:v>플랫폼·투고·계약</x:v>
      </x:c>
      <x:c r="I720" s="112" t="n">
        <x:v>8</x:v>
      </x:c>
      <x:c r="J720" s="112" t="str">
        <x:v>플랫폼, 매니지, 조아라, 문피아, 네이버, 카카오</x:v>
      </x:c>
      <x:c r="K720" s="112" t="str">
        <x:v>재게시</x:v>
      </x:c>
      <x:c r="L720" s="112" t="str">
        <x:v>높음</x:v>
      </x:c>
      <x:c r="M720" s="112" t="str">
        <x:v>제목의 펌/퍼옴 표시</x:v>
      </x:c>
      <x:c r="N720" s="116" t="str">
        <x:v>http://gall.dcinside.com/mgallery/board/view/?id=tgijjdd&amp;no=63018&amp;exception_mode=recommend&amp;page=1</x:v>
      </x:c>
      <x:c r="O720" s="116" t="str">
        <x:v>https://m.blog.naver.com/sntu2010/221409140260</x:v>
      </x:c>
      <x:c r="P720" s="112" t="str">
        <x:v>예</x:v>
      </x:c>
      <x:c r="Q720" s="113" t="str">
        <x:v>자동 분류·표본 검토 대상</x:v>
      </x:c>
    </x:row>
    <x:row r="721">
      <x:c r="A721" s="100" t="n">
        <x:v>720</x:v>
      </x:c>
      <x:c r="B721" s="101" t="n">
        <x:v>43433</x:v>
      </x:c>
      <x:c r="C721" s="102" t="n">
        <x:v>2018</x:v>
      </x:c>
      <x:c r="D721" s="103" t="str">
        <x:v>ID-221409078055</x:v>
      </x:c>
      <x:c r="E721" s="112" t="str">
        <x:v>[펌]인기 웹소설 '소설 속 엑스트라'를 보고 배울 점과 배우면 안되는 점</x:v>
      </x:c>
      <x:c r="F721" s="112" t="str">
        <x:v>웹소작법</x:v>
      </x:c>
      <x:c r="G721" s="112" t="str">
        <x:v>웹소설 직접</x:v>
      </x:c>
      <x:c r="H721" s="112" t="str">
        <x:v>캐릭터·전개</x:v>
      </x:c>
      <x:c r="I721" s="112" t="n">
        <x:v>7</x:v>
      </x:c>
      <x:c r="J721" s="112" t="str">
        <x:v>전개, 에피소드, 주인공</x:v>
      </x:c>
      <x:c r="K721" s="112" t="str">
        <x:v>재게시</x:v>
      </x:c>
      <x:c r="L721" s="112" t="str">
        <x:v>높음</x:v>
      </x:c>
      <x:c r="M721" s="112" t="str">
        <x:v>제목의 펌/퍼옴 표시</x:v>
      </x:c>
      <x:c r="N721" s="116" t="str">
        <x:v>http://gall.dcinside.com/mgallery/board/view/?id=tgijjdd&amp;no=59273&amp;exception_mode=recommend&amp;page=2</x:v>
      </x:c>
      <x:c r="O721" s="116" t="str">
        <x:v>https://m.blog.naver.com/sntu2010/221409078055</x:v>
      </x:c>
      <x:c r="P721" s="112" t="str">
        <x:v>예</x:v>
      </x:c>
      <x:c r="Q721" s="113" t="str">
        <x:v>자동 분류·표본 검토 대상</x:v>
      </x:c>
    </x:row>
    <x:row r="722">
      <x:c r="A722" s="100" t="n">
        <x:v>721</x:v>
      </x:c>
      <x:c r="B722" s="101" t="n">
        <x:v>43433</x:v>
      </x:c>
      <x:c r="C722" s="102" t="n">
        <x:v>2018</x:v>
      </x:c>
      <x:c r="D722" s="103" t="str">
        <x:v>ID-221409060971</x:v>
      </x:c>
      <x:c r="E722" s="112" t="str">
        <x:v>[펌]프롤로그 잘 쓰는 개꿀팁 방출 + 실제 예시</x:v>
      </x:c>
      <x:c r="F722" s="112" t="str">
        <x:v>웹소작법</x:v>
      </x:c>
      <x:c r="G722" s="112" t="str">
        <x:v>웹소설 직접</x:v>
      </x:c>
      <x:c r="H722" s="112" t="str">
        <x:v>작법·상업성</x:v>
      </x:c>
      <x:c r="I722" s="112" t="n">
        <x:v>6</x:v>
      </x:c>
      <x:c r="J722" s="112" t="str">
        <x:v>대리만족, 기대감, 문장, 설정, 독자, 작법</x:v>
      </x:c>
      <x:c r="K722" s="112" t="str">
        <x:v>재게시</x:v>
      </x:c>
      <x:c r="L722" s="112" t="str">
        <x:v>높음</x:v>
      </x:c>
      <x:c r="M722" s="112" t="str">
        <x:v>제목의 펌/퍼옴 표시</x:v>
      </x:c>
      <x:c r="N722" s="116" t="str">
        <x:v>http://gall.dcinside.com/mgallery/board/view/?id=tgijjdd&amp;no=60620&amp;exception_mode=recommend&amp;page=1</x:v>
      </x:c>
      <x:c r="O722" s="116" t="str">
        <x:v>https://m.blog.naver.com/sntu2010/221409060971</x:v>
      </x:c>
      <x:c r="P722" s="112" t="str">
        <x:v>예</x:v>
      </x:c>
      <x:c r="Q722" s="113" t="str">
        <x:v>자동 분류·표본 검토 대상</x:v>
      </x:c>
    </x:row>
    <x:row r="723">
      <x:c r="A723" s="100" t="n">
        <x:v>722</x:v>
      </x:c>
      <x:c r="B723" s="101" t="n">
        <x:v>43433</x:v>
      </x:c>
      <x:c r="C723" s="102" t="n">
        <x:v>2018</x:v>
      </x:c>
      <x:c r="D723" s="103" t="str">
        <x:v>ID-221409031463</x:v>
      </x:c>
      <x:c r="E723" s="112" t="str">
        <x:v>[펌]웹소설 노하우 1,2,3</x:v>
      </x:c>
      <x:c r="F723" s="112" t="str">
        <x:v>웹소작법</x:v>
      </x:c>
      <x:c r="G723" s="112" t="str">
        <x:v>웹소설 직접</x:v>
      </x:c>
      <x:c r="H723" s="112" t="str">
        <x:v>작법·상업성</x:v>
      </x:c>
      <x:c r="I723" s="112" t="n">
        <x:v>6</x:v>
      </x:c>
      <x:c r="J723" s="112" t="str">
        <x:v>독자, 설정, 작법</x:v>
      </x:c>
      <x:c r="K723" s="112" t="str">
        <x:v>재게시</x:v>
      </x:c>
      <x:c r="L723" s="112" t="str">
        <x:v>높음</x:v>
      </x:c>
      <x:c r="M723" s="112" t="str">
        <x:v>제목의 펌/퍼옴 표시</x:v>
      </x:c>
      <x:c r="N723" s="116" t="str">
        <x:v>http://gall.dcinside.com/mgallery/board/view/?id=tgijjdd&amp;no=58835&amp;exception_mode=recommend&amp;page=2</x:v>
      </x:c>
      <x:c r="O723" s="116" t="str">
        <x:v>https://m.blog.naver.com/sntu2010/221409031463</x:v>
      </x:c>
      <x:c r="P723" s="112" t="str">
        <x:v>예</x:v>
      </x:c>
      <x:c r="Q723" s="113" t="str">
        <x:v>자동 분류·표본 검토 대상</x:v>
      </x:c>
    </x:row>
    <x:row r="724">
      <x:c r="A724" s="100" t="n">
        <x:v>723</x:v>
      </x:c>
      <x:c r="B724" s="101" t="n">
        <x:v>43433</x:v>
      </x:c>
      <x:c r="C724" s="102" t="n">
        <x:v>2018</x:v>
      </x:c>
      <x:c r="D724" s="103" t="str">
        <x:v>ID-221409029467</x:v>
      </x:c>
      <x:c r="E724" s="112" t="str">
        <x:v>[펌]웹소설 연재 포인트(3)</x:v>
      </x:c>
      <x:c r="F724" s="112" t="str">
        <x:v>웹소작법</x:v>
      </x:c>
      <x:c r="G724" s="112" t="str">
        <x:v>웹소설 직접</x:v>
      </x:c>
      <x:c r="H724" s="112" t="str">
        <x:v>작법·상업성</x:v>
      </x:c>
      <x:c r="I724" s="112" t="n">
        <x:v>8</x:v>
      </x:c>
      <x:c r="J724" s="112" t="str">
        <x:v>고구마, 독자, 작법</x:v>
      </x:c>
      <x:c r="K724" s="112" t="str">
        <x:v>재게시</x:v>
      </x:c>
      <x:c r="L724" s="112" t="str">
        <x:v>높음</x:v>
      </x:c>
      <x:c r="M724" s="112" t="str">
        <x:v>제목의 펌/퍼옴 표시</x:v>
      </x:c>
      <x:c r="N724" s="116" t="str">
        <x:v>http://gall.dcinside.com/mgallery/board/view/?id=tgijjdd&amp;no=61400&amp;exception_mode=recommend&amp;page=1</x:v>
      </x:c>
      <x:c r="O724" s="116" t="str">
        <x:v>https://m.blog.naver.com/sntu2010/221409029467</x:v>
      </x:c>
      <x:c r="P724" s="112" t="str">
        <x:v>예</x:v>
      </x:c>
      <x:c r="Q724" s="113" t="str">
        <x:v>자동 분류·표본 검토 대상</x:v>
      </x:c>
    </x:row>
    <x:row r="725">
      <x:c r="A725" s="100" t="n">
        <x:v>724</x:v>
      </x:c>
      <x:c r="B725" s="101" t="n">
        <x:v>43433</x:v>
      </x:c>
      <x:c r="C725" s="102" t="n">
        <x:v>2018</x:v>
      </x:c>
      <x:c r="D725" s="103" t="str">
        <x:v>ID-221409010915</x:v>
      </x:c>
      <x:c r="E725" s="112" t="str">
        <x:v>[펌]이렇게 프롤로그 쓰지마라</x:v>
      </x:c>
      <x:c r="F725" s="112" t="str">
        <x:v>웹소작법</x:v>
      </x:c>
      <x:c r="G725" s="112" t="str">
        <x:v>웹소설 직접</x:v>
      </x:c>
      <x:c r="H725" s="112" t="str">
        <x:v>초반부/연독률</x:v>
      </x:c>
      <x:c r="I725" s="112" t="n">
        <x:v>5</x:v>
      </x:c>
      <x:c r="J725" s="112" t="str">
        <x:v>1화, 10화</x:v>
      </x:c>
      <x:c r="K725" s="112" t="str">
        <x:v>재게시</x:v>
      </x:c>
      <x:c r="L725" s="112" t="str">
        <x:v>높음</x:v>
      </x:c>
      <x:c r="M725" s="112" t="str">
        <x:v>제목의 펌/퍼옴 표시</x:v>
      </x:c>
      <x:c r="N725" s="116" t="str">
        <x:v>http://gall.dcinside.com/mgallery/board/view/?id=tgijjdd&amp;no=60468&amp;exception_mode=recommend&amp;page=1</x:v>
      </x:c>
      <x:c r="O725" s="116" t="str">
        <x:v>https://m.blog.naver.com/sntu2010/221409010915</x:v>
      </x:c>
      <x:c r="P725" s="112" t="str">
        <x:v>아니오</x:v>
      </x:c>
      <x:c r="Q725" s="113" t="str">
        <x:v>자동 분류·표본 검토 대상</x:v>
      </x:c>
    </x:row>
    <x:row r="726">
      <x:c r="A726" s="100" t="n">
        <x:v>725</x:v>
      </x:c>
      <x:c r="B726" s="101" t="n">
        <x:v>43433</x:v>
      </x:c>
      <x:c r="C726" s="102" t="n">
        <x:v>2018</x:v>
      </x:c>
      <x:c r="D726" s="103" t="str">
        <x:v>ID-221409001304</x:v>
      </x:c>
      <x:c r="E726" s="112" t="str">
        <x:v>[펌]아마추어에서 프로를 노리는 글쟁이들의 이상한 특성</x:v>
      </x:c>
      <x:c r="F726" s="112" t="str">
        <x:v>웹소작법</x:v>
      </x:c>
      <x:c r="G726" s="112" t="str">
        <x:v>웹소설 직접</x:v>
      </x:c>
      <x:c r="H726" s="112" t="str">
        <x:v>작법·상업성</x:v>
      </x:c>
      <x:c r="I726" s="112" t="n">
        <x:v>4</x:v>
      </x:c>
      <x:c r="J726" s="112" t="str">
        <x:v>독자, 작법</x:v>
      </x:c>
      <x:c r="K726" s="112" t="str">
        <x:v>재게시</x:v>
      </x:c>
      <x:c r="L726" s="112" t="str">
        <x:v>높음</x:v>
      </x:c>
      <x:c r="M726" s="112" t="str">
        <x:v>제목의 펌/퍼옴 표시</x:v>
      </x:c>
      <x:c r="N726" s="116" t="str">
        <x:v>http://gall.dcinside.com/mgallery/board/view/?id=tgijjdd&amp;no=58909&amp;exception_mode=recommend&amp;page=2</x:v>
      </x:c>
      <x:c r="O726" s="116" t="str">
        <x:v>https://m.blog.naver.com/sntu2010/221409001304</x:v>
      </x:c>
      <x:c r="P726" s="112" t="str">
        <x:v>아니오</x:v>
      </x:c>
      <x:c r="Q726" s="113" t="str">
        <x:v>자동 분류·표본 검토 대상</x:v>
      </x:c>
    </x:row>
    <x:row r="727">
      <x:c r="A727" s="100" t="n">
        <x:v>726</x:v>
      </x:c>
      <x:c r="B727" s="101" t="n">
        <x:v>43433</x:v>
      </x:c>
      <x:c r="C727" s="102" t="n">
        <x:v>2018</x:v>
      </x:c>
      <x:c r="D727" s="103" t="str">
        <x:v>ID-221408999961</x:v>
      </x:c>
      <x:c r="E727" s="112" t="str">
        <x:v>[펌]작가를 좌절시키는 걸림돌 일곱가지</x:v>
      </x:c>
      <x:c r="F727" s="112" t="str">
        <x:v>웹소작법</x:v>
      </x:c>
      <x:c r="G727" s="112" t="str">
        <x:v>웹소설 직접</x:v>
      </x:c>
      <x:c r="H727" s="112" t="str">
        <x:v>작법·상업성</x:v>
      </x:c>
      <x:c r="I727" s="112" t="n">
        <x:v>2</x:v>
      </x:c>
      <x:c r="J727" s="112" t="str">
        <x:v>글쓰기, 작법</x:v>
      </x:c>
      <x:c r="K727" s="112" t="str">
        <x:v>재게시</x:v>
      </x:c>
      <x:c r="L727" s="112" t="str">
        <x:v>높음</x:v>
      </x:c>
      <x:c r="M727" s="112" t="str">
        <x:v>제목의 펌/퍼옴 표시</x:v>
      </x:c>
      <x:c r="N727" s="116" t="str">
        <x:v>http://gall.dcinside.com/mgallery/board/view/?id=tgijjdd&amp;no=58906&amp;exception_mode=recommend&amp;page=2</x:v>
      </x:c>
      <x:c r="O727" s="116" t="str">
        <x:v>https://m.blog.naver.com/sntu2010/221408999961</x:v>
      </x:c>
      <x:c r="P727" s="112" t="str">
        <x:v>아니오</x:v>
      </x:c>
      <x:c r="Q727" s="113" t="str">
        <x:v>자동 분류·표본 검토 대상</x:v>
      </x:c>
    </x:row>
    <x:row r="728">
      <x:c r="A728" s="100" t="n">
        <x:v>727</x:v>
      </x:c>
      <x:c r="B728" s="101" t="n">
        <x:v>43420</x:v>
      </x:c>
      <x:c r="C728" s="102" t="n">
        <x:v>2018</x:v>
      </x:c>
      <x:c r="D728" s="103" t="str">
        <x:v>ID-221399554732</x:v>
      </x:c>
      <x:c r="E728" s="112" t="str">
        <x:v>[펌]장르소설 클리셰를 알아보자</x:v>
      </x:c>
      <x:c r="F728" s="112" t="str">
        <x:v>웹소작법</x:v>
      </x:c>
      <x:c r="G728" s="112" t="str">
        <x:v>웹소설 직접</x:v>
      </x:c>
      <x:c r="H728" s="112" t="str">
        <x:v>작법·상업성</x:v>
      </x:c>
      <x:c r="I728" s="112" t="n">
        <x:v>41</x:v>
      </x:c>
      <x:c r="J728" s="112" t="str">
        <x:v>장르, 클리셰, 작법</x:v>
      </x:c>
      <x:c r="K728" s="112" t="str">
        <x:v>재게시</x:v>
      </x:c>
      <x:c r="L728" s="112" t="str">
        <x:v>높음</x:v>
      </x:c>
      <x:c r="M728" s="112" t="str">
        <x:v>제목의 펌/퍼옴 표시</x:v>
      </x:c>
      <x:c r="N728" s="116" t="str">
        <x:v>http://gall.dcinside.com/munpia/212</x:v>
      </x:c>
      <x:c r="O728" s="116" t="str">
        <x:v>https://m.blog.naver.com/sntu2010/221399554732</x:v>
      </x:c>
      <x:c r="P728" s="112" t="str">
        <x:v>예</x:v>
      </x:c>
      <x:c r="Q728" s="113" t="str">
        <x:v>자동 분류·표본 검토 대상</x:v>
      </x:c>
    </x:row>
    <x:row r="729">
      <x:c r="A729" s="100" t="n">
        <x:v>728</x:v>
      </x:c>
      <x:c r="B729" s="101" t="n">
        <x:v>43419</x:v>
      </x:c>
      <x:c r="C729" s="102" t="n">
        <x:v>2018</x:v>
      </x:c>
      <x:c r="D729" s="103" t="str">
        <x:v>ID-221399505816</x:v>
      </x:c>
      <x:c r="E729" s="112" t="str">
        <x:v>[펌]대화 이어나갈때 안 어색하게</x:v>
      </x:c>
      <x:c r="F729" s="112" t="str">
        <x:v>웹소작법</x:v>
      </x:c>
      <x:c r="G729" s="112" t="str">
        <x:v>웹소설 직접</x:v>
      </x:c>
      <x:c r="H729" s="112" t="str">
        <x:v>캐릭터·전개</x:v>
      </x:c>
      <x:c r="I729" s="112" t="n">
        <x:v>4</x:v>
      </x:c>
      <x:c r="J729" s="112" t="str">
        <x:v>시점, 플롯, 캐릭터</x:v>
      </x:c>
      <x:c r="K729" s="112" t="str">
        <x:v>재게시</x:v>
      </x:c>
      <x:c r="L729" s="112" t="str">
        <x:v>높음</x:v>
      </x:c>
      <x:c r="M729" s="112" t="str">
        <x:v>제목의 펌/퍼옴 표시</x:v>
      </x:c>
      <x:c r="N729" s="116" t="str">
        <x:v>http://gall.dcinside.com/munpia/318</x:v>
      </x:c>
      <x:c r="O729" s="116" t="str">
        <x:v>https://m.blog.naver.com/sntu2010/221399505816</x:v>
      </x:c>
      <x:c r="P729" s="112" t="str">
        <x:v>아니오</x:v>
      </x:c>
      <x:c r="Q729" s="113" t="str">
        <x:v>자동 분류·표본 검토 대상</x:v>
      </x:c>
    </x:row>
    <x:row r="730">
      <x:c r="A730" s="100" t="n">
        <x:v>729</x:v>
      </x:c>
      <x:c r="B730" s="101" t="n">
        <x:v>43419</x:v>
      </x:c>
      <x:c r="C730" s="102" t="n">
        <x:v>2018</x:v>
      </x:c>
      <x:c r="D730" s="103" t="str">
        <x:v>ID-221399501040</x:v>
      </x:c>
      <x:c r="E730" s="112" t="str">
        <x:v>[펌]프롤로그를 쓰는 것에 대하여</x:v>
      </x:c>
      <x:c r="F730" s="112" t="str">
        <x:v>웹소작법</x:v>
      </x:c>
      <x:c r="G730" s="112" t="str">
        <x:v>웹소설 직접</x:v>
      </x:c>
      <x:c r="H730" s="112" t="str">
        <x:v>작법·상업성</x:v>
      </x:c>
      <x:c r="I730" s="112" t="n">
        <x:v>8</x:v>
      </x:c>
      <x:c r="J730" s="112" t="str">
        <x:v>독자, 사이다, 재미, 작법</x:v>
      </x:c>
      <x:c r="K730" s="112" t="str">
        <x:v>재게시</x:v>
      </x:c>
      <x:c r="L730" s="112" t="str">
        <x:v>높음</x:v>
      </x:c>
      <x:c r="M730" s="112" t="str">
        <x:v>제목의 펌/퍼옴 표시</x:v>
      </x:c>
      <x:c r="N730" s="116" t="str">
        <x:v>http://gall.dcinside.com/munpia/19</x:v>
      </x:c>
      <x:c r="O730" s="116" t="str">
        <x:v>https://m.blog.naver.com/sntu2010/221399501040</x:v>
      </x:c>
      <x:c r="P730" s="112" t="str">
        <x:v>예</x:v>
      </x:c>
      <x:c r="Q730" s="113" t="str">
        <x:v>자동 분류·표본 검토 대상</x:v>
      </x:c>
    </x:row>
    <x:row r="731">
      <x:c r="A731" s="100" t="n">
        <x:v>730</x:v>
      </x:c>
      <x:c r="B731" s="101" t="n">
        <x:v>43419</x:v>
      </x:c>
      <x:c r="C731" s="102" t="n">
        <x:v>2018</x:v>
      </x:c>
      <x:c r="D731" s="103" t="str">
        <x:v>ID-221399499841</x:v>
      </x:c>
      <x:c r="E731" s="112" t="str">
        <x:v>[펌]중딩때부터 글만써온 32살아재 충고</x:v>
      </x:c>
      <x:c r="F731" s="112" t="str">
        <x:v>웹소작법</x:v>
      </x:c>
      <x:c r="G731" s="112" t="str">
        <x:v>웹소설 직접</x:v>
      </x:c>
      <x:c r="H731" s="112" t="str">
        <x:v>작법·상업성</x:v>
      </x:c>
      <x:c r="I731" s="112" t="n">
        <x:v>2</x:v>
      </x:c>
      <x:c r="J731" s="112" t="str">
        <x:v>재미, 작법</x:v>
      </x:c>
      <x:c r="K731" s="112" t="str">
        <x:v>재게시</x:v>
      </x:c>
      <x:c r="L731" s="112" t="str">
        <x:v>높음</x:v>
      </x:c>
      <x:c r="M731" s="112" t="str">
        <x:v>제목의 펌/퍼옴 표시</x:v>
      </x:c>
      <x:c r="N731" s="116" t="str">
        <x:v>http://gall.dcinside.com/mgallery/board/view?id=munpia&amp;no=192</x:v>
      </x:c>
      <x:c r="O731" s="116" t="str">
        <x:v>https://m.blog.naver.com/sntu2010/221399499841</x:v>
      </x:c>
      <x:c r="P731" s="112" t="str">
        <x:v>아니오</x:v>
      </x:c>
      <x:c r="Q731" s="113" t="str">
        <x:v>자동 분류·표본 검토 대상</x:v>
      </x:c>
    </x:row>
    <x:row r="732">
      <x:c r="A732" s="100" t="n">
        <x:v>731</x:v>
      </x:c>
      <x:c r="B732" s="101" t="n">
        <x:v>43419</x:v>
      </x:c>
      <x:c r="C732" s="102" t="n">
        <x:v>2018</x:v>
      </x:c>
      <x:c r="D732" s="103" t="str">
        <x:v>ID-221399499585</x:v>
      </x:c>
      <x:c r="E732" s="112" t="str">
        <x:v>[펌]플롯 무시하면 큰일난다</x:v>
      </x:c>
      <x:c r="F732" s="112" t="str">
        <x:v>웹소작법</x:v>
      </x:c>
      <x:c r="G732" s="112" t="str">
        <x:v>웹소설 직접</x:v>
      </x:c>
      <x:c r="H732" s="112" t="str">
        <x:v>캐릭터·전개</x:v>
      </x:c>
      <x:c r="I732" s="112" t="n">
        <x:v>25</x:v>
      </x:c>
      <x:c r="J732" s="112" t="str">
        <x:v>플롯, 캐릭터, 주인공, 사건</x:v>
      </x:c>
      <x:c r="K732" s="112" t="str">
        <x:v>재게시</x:v>
      </x:c>
      <x:c r="L732" s="112" t="str">
        <x:v>높음</x:v>
      </x:c>
      <x:c r="M732" s="112" t="str">
        <x:v>제목의 펌/퍼옴 표시</x:v>
      </x:c>
      <x:c r="N732" s="116" t="str">
        <x:v>http://gall.dcinside.com/mgallery/board/view?id=munpia&amp;no=356</x:v>
      </x:c>
      <x:c r="O732" s="116" t="str">
        <x:v>https://m.blog.naver.com/sntu2010/221399499585</x:v>
      </x:c>
      <x:c r="P732" s="112" t="str">
        <x:v>예</x:v>
      </x:c>
      <x:c r="Q732" s="113" t="str">
        <x:v>자동 분류·표본 검토 대상</x:v>
      </x:c>
    </x:row>
    <x:row r="733">
      <x:c r="A733" s="100" t="n">
        <x:v>732</x:v>
      </x:c>
      <x:c r="B733" s="101" t="n">
        <x:v>43419</x:v>
      </x:c>
      <x:c r="C733" s="102" t="n">
        <x:v>2018</x:v>
      </x:c>
      <x:c r="D733" s="103" t="str">
        <x:v>ID-221399499185</x:v>
      </x:c>
      <x:c r="E733" s="112" t="str">
        <x:v>[펌]웹소설 작법 팁 1,2부</x:v>
      </x:c>
      <x:c r="F733" s="112" t="str">
        <x:v>웹소작법</x:v>
      </x:c>
      <x:c r="G733" s="112" t="str">
        <x:v>웹소설 직접</x:v>
      </x:c>
      <x:c r="H733" s="112" t="str">
        <x:v>작법·상업성</x:v>
      </x:c>
      <x:c r="I733" s="112" t="n">
        <x:v>28</x:v>
      </x:c>
      <x:c r="J733" s="112" t="str">
        <x:v>작법, 묘사, 독자</x:v>
      </x:c>
      <x:c r="K733" s="112" t="str">
        <x:v>재게시</x:v>
      </x:c>
      <x:c r="L733" s="112" t="str">
        <x:v>높음</x:v>
      </x:c>
      <x:c r="M733" s="112" t="str">
        <x:v>제목의 펌/퍼옴 표시</x:v>
      </x:c>
      <x:c r="N733" s="116" t="str">
        <x:v>http://gall.dcinside.com/mgallery/board/view?id=munpia&amp;no=556</x:v>
      </x:c>
      <x:c r="O733" s="116" t="str">
        <x:v>https://m.blog.naver.com/sntu2010/221399499185</x:v>
      </x:c>
      <x:c r="P733" s="112" t="str">
        <x:v>예</x:v>
      </x:c>
      <x:c r="Q733" s="113" t="str">
        <x:v>자동 분류·표본 검토 대상</x:v>
      </x:c>
    </x:row>
    <x:row r="734">
      <x:c r="A734" s="100" t="n">
        <x:v>733</x:v>
      </x:c>
      <x:c r="B734" s="101" t="n">
        <x:v>43419</x:v>
      </x:c>
      <x:c r="C734" s="102" t="n">
        <x:v>2018</x:v>
      </x:c>
      <x:c r="D734" s="103" t="str">
        <x:v>ID-221399493632</x:v>
      </x:c>
      <x:c r="E734" s="112" t="str">
        <x:v>[펌]작가의 밤 매우 자세한 후기 1,2,3부</x:v>
      </x:c>
      <x:c r="F734" s="112" t="str">
        <x:v>웹소작법</x:v>
      </x:c>
      <x:c r="G734" s="112" t="str">
        <x:v>웹소설 직접</x:v>
      </x:c>
      <x:c r="H734" s="112" t="str">
        <x:v>플랫폼·투고·계약</x:v>
      </x:c>
      <x:c r="I734" s="112" t="n">
        <x:v>1</x:v>
      </x:c>
      <x:c r="J734" s="112" t="str">
        <x:v>문피아</x:v>
      </x:c>
      <x:c r="K734" s="112" t="str">
        <x:v>재게시</x:v>
      </x:c>
      <x:c r="L734" s="112" t="str">
        <x:v>높음</x:v>
      </x:c>
      <x:c r="M734" s="112" t="str">
        <x:v>제목의 펌/퍼옴 표시</x:v>
      </x:c>
      <x:c r="N734" s="116" t="str">
        <x:v>http://gall.dcinside.com/mgallery/board/view/?id=tgijjdd&amp;no=58038&amp;page=1</x:v>
      </x:c>
      <x:c r="O734" s="116" t="str">
        <x:v>https://m.blog.naver.com/sntu2010/221399493632</x:v>
      </x:c>
      <x:c r="P734" s="112" t="str">
        <x:v>아니오</x:v>
      </x:c>
      <x:c r="Q734" s="113" t="str">
        <x:v>자동 분류·표본 검토 대상</x:v>
      </x:c>
    </x:row>
    <x:row r="735">
      <x:c r="A735" s="100" t="n">
        <x:v>734</x:v>
      </x:c>
      <x:c r="B735" s="101" t="n">
        <x:v>43418</x:v>
      </x:c>
      <x:c r="C735" s="102" t="n">
        <x:v>2018</x:v>
      </x:c>
      <x:c r="D735" s="103" t="str">
        <x:v>ID-221398637903</x:v>
      </x:c>
      <x:c r="E735" s="112" t="str">
        <x:v>[펌]제1회 문피아 작가의 밤(산경 작가:재벌집 막내아들)</x:v>
      </x:c>
      <x:c r="F735" s="112" t="str">
        <x:v>웹소작법</x:v>
      </x:c>
      <x:c r="G735" s="112" t="str">
        <x:v>웹소설 직접</x:v>
      </x:c>
      <x:c r="H735" s="112" t="str">
        <x:v>플랫폼·투고·계약</x:v>
      </x:c>
      <x:c r="I735" s="112" t="n">
        <x:v>22</x:v>
      </x:c>
      <x:c r="J735" s="112" t="str">
        <x:v>문피아, 매니지, 플랫폼</x:v>
      </x:c>
      <x:c r="K735" s="112" t="str">
        <x:v>재게시</x:v>
      </x:c>
      <x:c r="L735" s="112" t="str">
        <x:v>높음</x:v>
      </x:c>
      <x:c r="M735" s="112" t="str">
        <x:v>제목의 펌/퍼옴 표시</x:v>
      </x:c>
      <x:c r="N735" s="116" t="str">
        <x:v>http://gall.dcinside.com/mgallery/board/view/?id=tgijjdd&amp;no=57978&amp;page=1</x:v>
      </x:c>
      <x:c r="O735" s="116" t="str">
        <x:v>https://m.blog.naver.com/sntu2010/221398637903</x:v>
      </x:c>
      <x:c r="P735" s="112" t="str">
        <x:v>예</x:v>
      </x:c>
      <x:c r="Q735" s="113" t="str">
        <x:v>자동 분류·표본 검토 대상</x:v>
      </x:c>
    </x:row>
    <x:row r="736">
      <x:c r="A736" s="100" t="n">
        <x:v>735</x:v>
      </x:c>
      <x:c r="B736" s="101" t="n">
        <x:v>43418</x:v>
      </x:c>
      <x:c r="C736" s="102" t="n">
        <x:v>2018</x:v>
      </x:c>
      <x:c r="D736" s="103" t="str">
        <x:v>ID-221398603845</x:v>
      </x:c>
      <x:c r="E736" s="112" t="str">
        <x:v>[펌]라노벨을 웹소로 바꾸는 방법</x:v>
      </x:c>
      <x:c r="F736" s="112" t="str">
        <x:v>웹소작법</x:v>
      </x:c>
      <x:c r="G736" s="112" t="str">
        <x:v>웹소설 직접</x:v>
      </x:c>
      <x:c r="H736" s="112" t="str">
        <x:v>캐릭터·전개</x:v>
      </x:c>
      <x:c r="I736" s="112" t="n">
        <x:v>8</x:v>
      </x:c>
      <x:c r="J736" s="112" t="str">
        <x:v>캐릭터, 서사, 히로인, 전개, 플롯, 에피소드</x:v>
      </x:c>
      <x:c r="K736" s="112" t="str">
        <x:v>재게시</x:v>
      </x:c>
      <x:c r="L736" s="112" t="str">
        <x:v>높음</x:v>
      </x:c>
      <x:c r="M736" s="112" t="str">
        <x:v>제목의 펌/퍼옴 표시</x:v>
      </x:c>
      <x:c r="N736" s="116" t="str">
        <x:v>http://gall.dcinside.com/mgallery/board/view/?id=tgijjdd&amp;no=57982&amp;page=1</x:v>
      </x:c>
      <x:c r="O736" s="116" t="str">
        <x:v>https://m.blog.naver.com/sntu2010/221398603845</x:v>
      </x:c>
      <x:c r="P736" s="112" t="str">
        <x:v>예</x:v>
      </x:c>
      <x:c r="Q736" s="113" t="str">
        <x:v>자동 분류·표본 검토 대상</x:v>
      </x:c>
    </x:row>
    <x:row r="737">
      <x:c r="A737" s="100" t="n">
        <x:v>736</x:v>
      </x:c>
      <x:c r="B737" s="101" t="n">
        <x:v>43418</x:v>
      </x:c>
      <x:c r="C737" s="102" t="n">
        <x:v>2018</x:v>
      </x:c>
      <x:c r="D737" s="103" t="str">
        <x:v>ID-221398072016</x:v>
      </x:c>
      <x:c r="E737" s="112" t="str">
        <x:v>[펌]연독률 계산하는 법</x:v>
      </x:c>
      <x:c r="F737" s="112" t="str">
        <x:v>웹소작법</x:v>
      </x:c>
      <x:c r="G737" s="112" t="str">
        <x:v>웹소설 직접</x:v>
      </x:c>
      <x:c r="H737" s="112" t="str">
        <x:v>초반부/연독률</x:v>
      </x:c>
      <x:c r="I737" s="112" t="n">
        <x:v>20</x:v>
      </x:c>
      <x:c r="J737" s="112" t="str">
        <x:v>연독</x:v>
      </x:c>
      <x:c r="K737" s="112" t="str">
        <x:v>재게시</x:v>
      </x:c>
      <x:c r="L737" s="112" t="str">
        <x:v>높음</x:v>
      </x:c>
      <x:c r="M737" s="112" t="str">
        <x:v>제목의 펌/퍼옴 표시</x:v>
      </x:c>
      <x:c r="N737" s="116" t="str">
        <x:v>http://gall.dcinside.com/mgallery/board/view?id=munpia&amp;no=29</x:v>
      </x:c>
      <x:c r="O737" s="116" t="str">
        <x:v>https://m.blog.naver.com/sntu2010/221398072016</x:v>
      </x:c>
      <x:c r="P737" s="112" t="str">
        <x:v>예</x:v>
      </x:c>
      <x:c r="Q737" s="113" t="str">
        <x:v>자동 분류·표본 검토 대상</x:v>
      </x:c>
    </x:row>
    <x:row r="738">
      <x:c r="A738" s="100" t="n">
        <x:v>737</x:v>
      </x:c>
      <x:c r="B738" s="101" t="n">
        <x:v>43418</x:v>
      </x:c>
      <x:c r="C738" s="102" t="n">
        <x:v>2018</x:v>
      </x:c>
      <x:c r="D738" s="103" t="str">
        <x:v>ID-221398066211</x:v>
      </x:c>
      <x:c r="E738" s="112" t="str">
        <x:v>[펌]글먹충들이라 말하는 글먹충들에게(노경찬 작가님)</x:v>
      </x:c>
      <x:c r="F738" s="112" t="str">
        <x:v>웹소작법</x:v>
      </x:c>
      <x:c r="G738" s="112" t="str">
        <x:v>웹소설 직접</x:v>
      </x:c>
      <x:c r="H738" s="112" t="str">
        <x:v>작법·상업성</x:v>
      </x:c>
      <x:c r="I738" s="112" t="n">
        <x:v>3</x:v>
      </x:c>
      <x:c r="J738" s="112" t="str">
        <x:v>재미, 작법</x:v>
      </x:c>
      <x:c r="K738" s="112" t="str">
        <x:v>재게시</x:v>
      </x:c>
      <x:c r="L738" s="112" t="str">
        <x:v>높음</x:v>
      </x:c>
      <x:c r="M738" s="112" t="str">
        <x:v>제목의 펌/퍼옴 표시</x:v>
      </x:c>
      <x:c r="N738" s="116" t="str">
        <x:v>http://gall.dcinside.com/mgallery/board/view?id=munpia&amp;no=398</x:v>
      </x:c>
      <x:c r="O738" s="116" t="str">
        <x:v>https://m.blog.naver.com/sntu2010/221398066211</x:v>
      </x:c>
      <x:c r="P738" s="112" t="str">
        <x:v>아니오</x:v>
      </x:c>
      <x:c r="Q738" s="113" t="str">
        <x:v>자동 분류·표본 검토 대상</x:v>
      </x:c>
    </x:row>
    <x:row r="739">
      <x:c r="A739" s="100" t="n">
        <x:v>738</x:v>
      </x:c>
      <x:c r="B739" s="101" t="n">
        <x:v>43418</x:v>
      </x:c>
      <x:c r="C739" s="102" t="n">
        <x:v>2018</x:v>
      </x:c>
      <x:c r="D739" s="103" t="str">
        <x:v>ID-221398061942</x:v>
      </x:c>
      <x:c r="E739" s="112" t="str">
        <x:v>[펌]목마 작가님 Q&amp;A 행아웃에서의 모든 내용</x:v>
      </x:c>
      <x:c r="F739" s="112" t="str">
        <x:v>웹소작법</x:v>
      </x:c>
      <x:c r="G739" s="112" t="str">
        <x:v>웹소설 직접</x:v>
      </x:c>
      <x:c r="H739" s="112" t="str">
        <x:v>작법·상업성</x:v>
      </x:c>
      <x:c r="I739" s="112" t="n">
        <x:v>6</x:v>
      </x:c>
      <x:c r="J739" s="112" t="str">
        <x:v>독자, 사이다, 작법</x:v>
      </x:c>
      <x:c r="K739" s="112" t="str">
        <x:v>재게시</x:v>
      </x:c>
      <x:c r="L739" s="112" t="str">
        <x:v>높음</x:v>
      </x:c>
      <x:c r="M739" s="112" t="str">
        <x:v>제목의 펌/퍼옴 표시</x:v>
      </x:c>
      <x:c r="N739" s="116" t="str">
        <x:v>http://gall.dcinside.com/mgallery/board/view/?id=munpia&amp;no=35&amp;page=1</x:v>
      </x:c>
      <x:c r="O739" s="116" t="str">
        <x:v>https://m.blog.naver.com/sntu2010/221398061942</x:v>
      </x:c>
      <x:c r="P739" s="112" t="str">
        <x:v>예</x:v>
      </x:c>
      <x:c r="Q739" s="113" t="str">
        <x:v>자동 분류·표본 검토 대상</x:v>
      </x:c>
    </x:row>
    <x:row r="740">
      <x:c r="A740" s="100" t="n">
        <x:v>739</x:v>
      </x:c>
      <x:c r="B740" s="101" t="n">
        <x:v>43418</x:v>
      </x:c>
      <x:c r="C740" s="102" t="n">
        <x:v>2018</x:v>
      </x:c>
      <x:c r="D740" s="103" t="str">
        <x:v>ID-221398056056</x:v>
      </x:c>
      <x:c r="E740" s="112" t="str">
        <x:v>[펌]지망생을 위한 충고 1,2(목마 작가님)</x:v>
      </x:c>
      <x:c r="F740" s="112" t="str">
        <x:v>웹소작법</x:v>
      </x:c>
      <x:c r="G740" s="112" t="str">
        <x:v>웹소설 직접</x:v>
      </x:c>
      <x:c r="H740" s="112" t="str">
        <x:v>플랫폼·투고·계약</x:v>
      </x:c>
      <x:c r="I740" s="112" t="n">
        <x:v>7</x:v>
      </x:c>
      <x:c r="J740" s="112" t="str">
        <x:v>문피아, 조아라, 매니지, 계약</x:v>
      </x:c>
      <x:c r="K740" s="112" t="str">
        <x:v>재게시</x:v>
      </x:c>
      <x:c r="L740" s="112" t="str">
        <x:v>높음</x:v>
      </x:c>
      <x:c r="M740" s="112" t="str">
        <x:v>제목의 펌/퍼옴 표시</x:v>
      </x:c>
      <x:c r="N740" s="116" t="str">
        <x:v>http://gall.dcinside.com/mgallery/board/view?id=munpia&amp;no=11</x:v>
      </x:c>
      <x:c r="O740" s="116" t="str">
        <x:v>https://m.blog.naver.com/sntu2010/221398056056</x:v>
      </x:c>
      <x:c r="P740" s="112" t="str">
        <x:v>예</x:v>
      </x:c>
      <x:c r="Q740" s="113" t="str">
        <x:v>자동 분류·표본 검토 대상</x:v>
      </x:c>
    </x:row>
    <x:row r="741">
      <x:c r="A741" s="100" t="n">
        <x:v>740</x:v>
      </x:c>
      <x:c r="B741" s="101" t="n">
        <x:v>43418</x:v>
      </x:c>
      <x:c r="C741" s="102" t="n">
        <x:v>2018</x:v>
      </x:c>
      <x:c r="D741" s="103" t="str">
        <x:v>ID-221398053766</x:v>
      </x:c>
      <x:c r="E741" s="112" t="str">
        <x:v>[펌]글먹에 대한 충고</x:v>
      </x:c>
      <x:c r="F741" s="112" t="str">
        <x:v>웹소작법</x:v>
      </x:c>
      <x:c r="G741" s="112" t="str">
        <x:v>웹소설 직접</x:v>
      </x:c>
      <x:c r="H741" s="112" t="str">
        <x:v>작법·상업성</x:v>
      </x:c>
      <x:c r="I741" s="112" t="n">
        <x:v>7</x:v>
      </x:c>
      <x:c r="J741" s="112" t="str">
        <x:v>재미, 독자, 설정, 묘사, 작법</x:v>
      </x:c>
      <x:c r="K741" s="112" t="str">
        <x:v>재게시</x:v>
      </x:c>
      <x:c r="L741" s="112" t="str">
        <x:v>높음</x:v>
      </x:c>
      <x:c r="M741" s="112" t="str">
        <x:v>제목의 펌/퍼옴 표시</x:v>
      </x:c>
      <x:c r="N741" s="116" t="str">
        <x:v>http://gall.dcinside.com/mgallery/board/view?id=munpia&amp;no=8</x:v>
      </x:c>
      <x:c r="O741" s="116" t="str">
        <x:v>https://m.blog.naver.com/sntu2010/221398053766</x:v>
      </x:c>
      <x:c r="P741" s="112" t="str">
        <x:v>예</x:v>
      </x:c>
      <x:c r="Q741" s="113" t="str">
        <x:v>자동 분류·표본 검토 대상</x:v>
      </x:c>
    </x:row>
    <x:row r="742">
      <x:c r="A742" s="100" t="n">
        <x:v>741</x:v>
      </x:c>
      <x:c r="B742" s="101" t="n">
        <x:v>43417</x:v>
      </x:c>
      <x:c r="C742" s="102" t="n">
        <x:v>2018</x:v>
      </x:c>
      <x:c r="D742" s="103" t="str">
        <x:v>ID-221397847458</x:v>
      </x:c>
      <x:c r="E742" s="112" t="str">
        <x:v>[펌]사람들이 소설로 채우려는 욕구가 변했다</x:v>
      </x:c>
      <x:c r="F742" s="112" t="str">
        <x:v>웹소작법</x:v>
      </x:c>
      <x:c r="G742" s="112" t="str">
        <x:v>웹소설 직접</x:v>
      </x:c>
      <x:c r="H742" s="112" t="str">
        <x:v>작법·상업성</x:v>
      </x:c>
      <x:c r="I742" s="112" t="n">
        <x:v>5</x:v>
      </x:c>
      <x:c r="J742" s="112" t="str">
        <x:v>장르, 독자, 재미, 작법</x:v>
      </x:c>
      <x:c r="K742" s="112" t="str">
        <x:v>재게시</x:v>
      </x:c>
      <x:c r="L742" s="112" t="str">
        <x:v>높음</x:v>
      </x:c>
      <x:c r="M742" s="112" t="str">
        <x:v>제목의 펌/퍼옴 표시</x:v>
      </x:c>
      <x:c r="N742" s="116" t="str">
        <x:v>http://gall.dcinside.com/mgallery/board/view/?id=munpia&amp;no=1236&amp;page=1</x:v>
      </x:c>
      <x:c r="O742" s="116" t="str">
        <x:v>https://m.blog.naver.com/sntu2010/221397847458</x:v>
      </x:c>
      <x:c r="P742" s="112" t="str">
        <x:v>아니오</x:v>
      </x:c>
      <x:c r="Q742" s="113" t="str">
        <x:v>자동 분류·표본 검토 대상</x:v>
      </x:c>
    </x:row>
    <x:row r="743">
      <x:c r="A743" s="100" t="n">
        <x:v>742</x:v>
      </x:c>
      <x:c r="B743" s="101" t="n">
        <x:v>43416</x:v>
      </x:c>
      <x:c r="C743" s="102" t="n">
        <x:v>2018</x:v>
      </x:c>
      <x:c r="D743" s="103" t="str">
        <x:v>ID-221397280581</x:v>
      </x:c>
      <x:c r="E743" s="112" t="str">
        <x:v>[펌]개인적으로 생각하는 환호장치에 관하여(오리카프카 작가님)</x:v>
      </x:c>
      <x:c r="F743" s="112" t="str">
        <x:v>웹소작법</x:v>
      </x:c>
      <x:c r="G743" s="112" t="str">
        <x:v>웹소설 직접</x:v>
      </x:c>
      <x:c r="H743" s="112" t="str">
        <x:v>캐릭터·전개</x:v>
      </x:c>
      <x:c r="I743" s="112" t="n">
        <x:v>3</x:v>
      </x:c>
      <x:c r="J743" s="112" t="str">
        <x:v>주인공, 에피소드</x:v>
      </x:c>
      <x:c r="K743" s="112" t="str">
        <x:v>재게시</x:v>
      </x:c>
      <x:c r="L743" s="112" t="str">
        <x:v>높음</x:v>
      </x:c>
      <x:c r="M743" s="112" t="str">
        <x:v>제목의 펌/퍼옴 표시</x:v>
      </x:c>
      <x:c r="N743" s="116" t="str">
        <x:v>http://gall.dcinside.com/mgallery/board/view?id=munpia&amp;no=696</x:v>
      </x:c>
      <x:c r="O743" s="116" t="str">
        <x:v>https://m.blog.naver.com/sntu2010/221397280581</x:v>
      </x:c>
      <x:c r="P743" s="112" t="str">
        <x:v>아니오</x:v>
      </x:c>
      <x:c r="Q743" s="113" t="str">
        <x:v>자동 분류·표본 검토 대상</x:v>
      </x:c>
    </x:row>
    <x:row r="744">
      <x:c r="A744" s="100" t="n">
        <x:v>743</x:v>
      </x:c>
      <x:c r="B744" s="101" t="n">
        <x:v>43416</x:v>
      </x:c>
      <x:c r="C744" s="102" t="n">
        <x:v>2018</x:v>
      </x:c>
      <x:c r="D744" s="103" t="str">
        <x:v>ID-221397278862</x:v>
      </x:c>
      <x:c r="E744" s="112" t="str">
        <x:v>[펌]소재에 관하여(시스템 회귀물or동창회)</x:v>
      </x:c>
      <x:c r="F744" s="112" t="str">
        <x:v>웹소작법</x:v>
      </x:c>
      <x:c r="G744" s="112" t="str">
        <x:v>웹소설 직접</x:v>
      </x:c>
      <x:c r="H744" s="112" t="str">
        <x:v>작법·상업성</x:v>
      </x:c>
      <x:c r="I744" s="112" t="n">
        <x:v>28</x:v>
      </x:c>
      <x:c r="J744" s="112" t="str">
        <x:v>소재, 재미, 장르, 작법</x:v>
      </x:c>
      <x:c r="K744" s="112" t="str">
        <x:v>재게시</x:v>
      </x:c>
      <x:c r="L744" s="112" t="str">
        <x:v>높음</x:v>
      </x:c>
      <x:c r="M744" s="112" t="str">
        <x:v>제목의 펌/퍼옴 표시</x:v>
      </x:c>
      <x:c r="N744" s="116" t="str">
        <x:v>http://gall.dcinside.com/mgallery/board/view?id=munpia&amp;no=574</x:v>
      </x:c>
      <x:c r="O744" s="116" t="str">
        <x:v>https://m.blog.naver.com/sntu2010/221397278862</x:v>
      </x:c>
      <x:c r="P744" s="112" t="str">
        <x:v>예</x:v>
      </x:c>
      <x:c r="Q744" s="113" t="str">
        <x:v>자동 분류·표본 검토 대상</x:v>
      </x:c>
    </x:row>
    <x:row r="745">
      <x:c r="A745" s="100" t="n">
        <x:v>744</x:v>
      </x:c>
      <x:c r="B745" s="101" t="n">
        <x:v>43416</x:v>
      </x:c>
      <x:c r="C745" s="102" t="n">
        <x:v>2018</x:v>
      </x:c>
      <x:c r="D745" s="103" t="str">
        <x:v>ID-221397277606</x:v>
      </x:c>
      <x:c r="E745" s="112" t="str">
        <x:v>[펌]글 쓰기 전부터 정보량이 많으면 헤맨다</x:v>
      </x:c>
      <x:c r="F745" s="112" t="str">
        <x:v>웹소작법</x:v>
      </x:c>
      <x:c r="G745" s="112" t="str">
        <x:v>웹소설 직접</x:v>
      </x:c>
      <x:c r="H745" s="112" t="str">
        <x:v>초반부/연독률</x:v>
      </x:c>
      <x:c r="I745" s="112" t="n">
        <x:v>6</x:v>
      </x:c>
      <x:c r="J745" s="112" t="str">
        <x:v>연독, 선작, 조회수</x:v>
      </x:c>
      <x:c r="K745" s="112" t="str">
        <x:v>재게시</x:v>
      </x:c>
      <x:c r="L745" s="112" t="str">
        <x:v>높음</x:v>
      </x:c>
      <x:c r="M745" s="112" t="str">
        <x:v>제목의 펌/퍼옴 표시</x:v>
      </x:c>
      <x:c r="N745" s="116" t="str">
        <x:v>http://gall.dcinside.com/mgallery/board/view?id=munpia&amp;no=712</x:v>
      </x:c>
      <x:c r="O745" s="116" t="str">
        <x:v>https://m.blog.naver.com/sntu2010/221397277606</x:v>
      </x:c>
      <x:c r="P745" s="112" t="str">
        <x:v>예</x:v>
      </x:c>
      <x:c r="Q745" s="113" t="str">
        <x:v>자동 분류·표본 검토 대상</x:v>
      </x:c>
    </x:row>
    <x:row r="746">
      <x:c r="A746" s="100" t="n">
        <x:v>745</x:v>
      </x:c>
      <x:c r="B746" s="101" t="n">
        <x:v>43416</x:v>
      </x:c>
      <x:c r="C746" s="102" t="n">
        <x:v>2018</x:v>
      </x:c>
      <x:c r="D746" s="103" t="str">
        <x:v>ID-221397276533</x:v>
      </x:c>
      <x:c r="E746" s="112" t="str">
        <x:v>[펌]내가 했던 웹소설 분석법(전지적 독자 시점)</x:v>
      </x:c>
      <x:c r="F746" s="112" t="str">
        <x:v>웹소작법</x:v>
      </x:c>
      <x:c r="G746" s="112" t="str">
        <x:v>웹소설 직접</x:v>
      </x:c>
      <x:c r="H746" s="112" t="str">
        <x:v>작법·상업성</x:v>
      </x:c>
      <x:c r="I746" s="112" t="n">
        <x:v>21</x:v>
      </x:c>
      <x:c r="J746" s="112" t="str">
        <x:v>독자, 작법</x:v>
      </x:c>
      <x:c r="K746" s="112" t="str">
        <x:v>재게시</x:v>
      </x:c>
      <x:c r="L746" s="112" t="str">
        <x:v>높음</x:v>
      </x:c>
      <x:c r="M746" s="112" t="str">
        <x:v>제목의 펌/퍼옴 표시</x:v>
      </x:c>
      <x:c r="N746" s="116" t="str">
        <x:v>http://gall.dcinside.com/mgallery/board/view?id=munpia&amp;no=593</x:v>
      </x:c>
      <x:c r="O746" s="116" t="str">
        <x:v>https://m.blog.naver.com/sntu2010/221397276533</x:v>
      </x:c>
      <x:c r="P746" s="112" t="str">
        <x:v>예</x:v>
      </x:c>
      <x:c r="Q746" s="113" t="str">
        <x:v>자동 분류·표본 검토 대상</x:v>
      </x:c>
    </x:row>
    <x:row r="747">
      <x:c r="A747" s="100" t="n">
        <x:v>746</x:v>
      </x:c>
      <x:c r="B747" s="101" t="n">
        <x:v>43415</x:v>
      </x:c>
      <x:c r="C747" s="102" t="n">
        <x:v>2018</x:v>
      </x:c>
      <x:c r="D747" s="103" t="str">
        <x:v>ID-221396551813</x:v>
      </x:c>
      <x:c r="E747" s="112" t="str">
        <x:v>[펌]노쓰우드 작가님 글 쓰기 노하우 모음(2)</x:v>
      </x:c>
      <x:c r="F747" s="112" t="str">
        <x:v>웹소작법</x:v>
      </x:c>
      <x:c r="G747" s="112" t="str">
        <x:v>웹소설 직접</x:v>
      </x:c>
      <x:c r="H747" s="112" t="str">
        <x:v>플랫폼·투고·계약</x:v>
      </x:c>
      <x:c r="I747" s="112" t="n">
        <x:v>1</x:v>
      </x:c>
      <x:c r="J747" s="112" t="str">
        <x:v>문피아</x:v>
      </x:c>
      <x:c r="K747" s="112" t="str">
        <x:v>재게시</x:v>
      </x:c>
      <x:c r="L747" s="112" t="str">
        <x:v>높음</x:v>
      </x:c>
      <x:c r="M747" s="112" t="str">
        <x:v>제목의 펌/퍼옴 표시</x:v>
      </x:c>
      <x:c r="N747" s="116" t="str">
        <x:v>http://gall.dcinside.com/mgallery/board/lists?id=munpia&amp;s_type=search_subject&amp;s_keyword=%EB%85%B8%EC%93%B0%EC%9A%B0%EB%93%9C&amp;page=1</x:v>
      </x:c>
      <x:c r="O747" s="116" t="str">
        <x:v>https://m.blog.naver.com/sntu2010/221396551813</x:v>
      </x:c>
      <x:c r="P747" s="112" t="str">
        <x:v>아니오</x:v>
      </x:c>
      <x:c r="Q747" s="113" t="str">
        <x:v>자동 분류·표본 검토 대상</x:v>
      </x:c>
    </x:row>
    <x:row r="748">
      <x:c r="A748" s="100" t="n">
        <x:v>747</x:v>
      </x:c>
      <x:c r="B748" s="101" t="n">
        <x:v>43415</x:v>
      </x:c>
      <x:c r="C748" s="102" t="n">
        <x:v>2018</x:v>
      </x:c>
      <x:c r="D748" s="103" t="str">
        <x:v>ID-221396550737</x:v>
      </x:c>
      <x:c r="E748" s="112" t="str">
        <x:v>[펌]노쓰우드 작가님 글 쓰기 노하우 모음(1)</x:v>
      </x:c>
      <x:c r="F748" s="112" t="str">
        <x:v>웹소작법</x:v>
      </x:c>
      <x:c r="G748" s="112" t="str">
        <x:v>웹소설 직접</x:v>
      </x:c>
      <x:c r="H748" s="112" t="str">
        <x:v>작법·상업성</x:v>
      </x:c>
      <x:c r="I748" s="112" t="n">
        <x:v>5</x:v>
      </x:c>
      <x:c r="J748" s="112" t="str">
        <x:v>독자, 기대감, 대리만족, 작법</x:v>
      </x:c>
      <x:c r="K748" s="112" t="str">
        <x:v>재게시</x:v>
      </x:c>
      <x:c r="L748" s="112" t="str">
        <x:v>높음</x:v>
      </x:c>
      <x:c r="M748" s="112" t="str">
        <x:v>제목의 펌/퍼옴 표시</x:v>
      </x:c>
      <x:c r="N748" s="116" t="str">
        <x:v>http://gall.dcinside.com/mgallery/board/lists?id=munpia&amp;s_type=search_subject&amp;s_keyword=%EB%85%B8%EC%93%B0%EC%9A%B0%EB%93%9C&amp;page=1</x:v>
      </x:c>
      <x:c r="O748" s="116" t="str">
        <x:v>https://m.blog.naver.com/sntu2010/221396550737</x:v>
      </x:c>
      <x:c r="P748" s="112" t="str">
        <x:v>아니오</x:v>
      </x:c>
      <x:c r="Q748" s="113" t="str">
        <x:v>자동 분류·표본 검토 대상</x:v>
      </x:c>
    </x:row>
    <x:row r="749">
      <x:c r="A749" s="100" t="n">
        <x:v>748</x:v>
      </x:c>
      <x:c r="B749" s="101" t="n">
        <x:v>43415</x:v>
      </x:c>
      <x:c r="C749" s="102" t="n">
        <x:v>2018</x:v>
      </x:c>
      <x:c r="D749" s="103" t="str">
        <x:v>ID-221396544812</x:v>
      </x:c>
      <x:c r="E749" s="112" t="str">
        <x:v>[펌]노경찬 - 글쟁이가 글쟁이에게 드리는 이야기 1~3부</x:v>
      </x:c>
      <x:c r="F749" s="112" t="str">
        <x:v>웹소작법</x:v>
      </x:c>
      <x:c r="G749" s="112" t="str">
        <x:v>웹소설 직접</x:v>
      </x:c>
      <x:c r="H749" s="112" t="str">
        <x:v>플랫폼·투고·계약</x:v>
      </x:c>
      <x:c r="I749" s="112" t="n">
        <x:v>2</x:v>
      </x:c>
      <x:c r="J749" s="112" t="str">
        <x:v>문피아</x:v>
      </x:c>
      <x:c r="K749" s="112" t="str">
        <x:v>재게시</x:v>
      </x:c>
      <x:c r="L749" s="112" t="str">
        <x:v>높음</x:v>
      </x:c>
      <x:c r="M749" s="112" t="str">
        <x:v>제목의 펌/퍼옴 표시</x:v>
      </x:c>
      <x:c r="N749" s="116" t="str">
        <x:v>http://gall.dcinside.com/munpia/230</x:v>
      </x:c>
      <x:c r="O749" s="116" t="str">
        <x:v>https://m.blog.naver.com/sntu2010/221396544812</x:v>
      </x:c>
      <x:c r="P749" s="112" t="str">
        <x:v>아니오</x:v>
      </x:c>
      <x:c r="Q749" s="113" t="str">
        <x:v>자동 분류·표본 검토 대상</x:v>
      </x:c>
    </x:row>
    <x:row r="750">
      <x:c r="A750" s="100" t="n">
        <x:v>749</x:v>
      </x:c>
      <x:c r="B750" s="101" t="n">
        <x:v>43415</x:v>
      </x:c>
      <x:c r="C750" s="102" t="n">
        <x:v>2018</x:v>
      </x:c>
      <x:c r="D750" s="103" t="str">
        <x:v>ID-221396544210</x:v>
      </x:c>
      <x:c r="E750" s="112" t="str">
        <x:v>[펌]웹소설 연재 포인트(2)</x:v>
      </x:c>
      <x:c r="F750" s="112" t="str">
        <x:v>웹소작법</x:v>
      </x:c>
      <x:c r="G750" s="112" t="str">
        <x:v>웹소설 직접</x:v>
      </x:c>
      <x:c r="H750" s="112" t="str">
        <x:v>작법·상업성</x:v>
      </x:c>
      <x:c r="I750" s="112" t="n">
        <x:v>8</x:v>
      </x:c>
      <x:c r="J750" s="112" t="str">
        <x:v>소재, 재미, 독자, 작법</x:v>
      </x:c>
      <x:c r="K750" s="112" t="str">
        <x:v>재게시</x:v>
      </x:c>
      <x:c r="L750" s="112" t="str">
        <x:v>높음</x:v>
      </x:c>
      <x:c r="M750" s="112" t="str">
        <x:v>제목의 펌/퍼옴 표시</x:v>
      </x:c>
      <x:c r="N750" s="116" t="str">
        <x:v>http://gall.dcinside.com/mgallery/board/view/?id=tgijjdd&amp;no=56888&amp;exception_mode=recommend&amp;page=1</x:v>
      </x:c>
      <x:c r="O750" s="116" t="str">
        <x:v>https://m.blog.naver.com/sntu2010/221396544210</x:v>
      </x:c>
      <x:c r="P750" s="112" t="str">
        <x:v>예</x:v>
      </x:c>
      <x:c r="Q750" s="113" t="str">
        <x:v>자동 분류·표본 검토 대상</x:v>
      </x:c>
    </x:row>
    <x:row r="751">
      <x:c r="A751" s="100" t="n">
        <x:v>750</x:v>
      </x:c>
      <x:c r="B751" s="101" t="n">
        <x:v>43414</x:v>
      </x:c>
      <x:c r="C751" s="102" t="n">
        <x:v>2018</x:v>
      </x:c>
      <x:c r="D751" s="103" t="str">
        <x:v>ID-221395592373</x:v>
      </x:c>
      <x:c r="E751" s="112" t="str">
        <x:v>[펌]트위터에서 주워온 웹소 팁</x:v>
      </x:c>
      <x:c r="F751" s="112" t="str">
        <x:v>웹소작법</x:v>
      </x:c>
      <x:c r="G751" s="112" t="str">
        <x:v>웹소설 직접</x:v>
      </x:c>
      <x:c r="H751" s="112" t="str">
        <x:v>캐릭터·전개</x:v>
      </x:c>
      <x:c r="I751" s="112" t="n">
        <x:v>5</x:v>
      </x:c>
      <x:c r="J751" s="112" t="str">
        <x:v>전개, 주인공, 시점</x:v>
      </x:c>
      <x:c r="K751" s="112" t="str">
        <x:v>재게시</x:v>
      </x:c>
      <x:c r="L751" s="112" t="str">
        <x:v>높음</x:v>
      </x:c>
      <x:c r="M751" s="112" t="str">
        <x:v>제목의 펌/퍼옴 표시</x:v>
      </x:c>
      <x:c r="N751" s="116" t="str">
        <x:v>http://gall.dcinside.com/mgallery/board/view/?id=tgijjdd&amp;no=56665&amp;exception_mode=recommend&amp;page=1</x:v>
      </x:c>
      <x:c r="O751" s="116" t="str">
        <x:v>https://m.blog.naver.com/sntu2010/221395592373</x:v>
      </x:c>
      <x:c r="P751" s="112" t="str">
        <x:v>아니오</x:v>
      </x:c>
      <x:c r="Q751" s="113" t="str">
        <x:v>자동 분류·표본 검토 대상</x:v>
      </x:c>
    </x:row>
    <x:row r="752">
      <x:c r="A752" s="100" t="n">
        <x:v>751</x:v>
      </x:c>
      <x:c r="B752" s="101" t="n">
        <x:v>43414</x:v>
      </x:c>
      <x:c r="C752" s="102" t="n">
        <x:v>2018</x:v>
      </x:c>
      <x:c r="D752" s="103" t="str">
        <x:v>ID-221395590987</x:v>
      </x:c>
      <x:c r="E752" s="112" t="str">
        <x:v>[펌]이것만 알면 당신도 양판!!! 무난한 양판을 쉽게 써보자</x:v>
      </x:c>
      <x:c r="F752" s="112" t="str">
        <x:v>웹소작법</x:v>
      </x:c>
      <x:c r="G752" s="112" t="str">
        <x:v>웹소설 직접</x:v>
      </x:c>
      <x:c r="H752" s="112" t="str">
        <x:v>작법·상업성</x:v>
      </x:c>
      <x:c r="I752" s="112" t="n">
        <x:v>8</x:v>
      </x:c>
      <x:c r="J752" s="112" t="str">
        <x:v>독자, 장르, 대리만족, 묘사, 고구마, 클리셰, 문장, 작법</x:v>
      </x:c>
      <x:c r="K752" s="112" t="str">
        <x:v>재게시</x:v>
      </x:c>
      <x:c r="L752" s="112" t="str">
        <x:v>높음</x:v>
      </x:c>
      <x:c r="M752" s="112" t="str">
        <x:v>제목의 펌/퍼옴 표시</x:v>
      </x:c>
      <x:c r="N752" s="116" t="str">
        <x:v>http://gall.dcinside.com/mgallery/board/view/?id=tgijjdd&amp;no=56664&amp;exception_mode=recommend&amp;page=1</x:v>
      </x:c>
      <x:c r="O752" s="116" t="str">
        <x:v>https://m.blog.naver.com/sntu2010/221395590987</x:v>
      </x:c>
      <x:c r="P752" s="112" t="str">
        <x:v>예</x:v>
      </x:c>
      <x:c r="Q752" s="113" t="str">
        <x:v>자동 분류·표본 검토 대상</x:v>
      </x:c>
    </x:row>
    <x:row r="753">
      <x:c r="A753" s="100" t="n">
        <x:v>752</x:v>
      </x:c>
      <x:c r="B753" s="101" t="n">
        <x:v>43414</x:v>
      </x:c>
      <x:c r="C753" s="102" t="n">
        <x:v>2018</x:v>
      </x:c>
      <x:c r="D753" s="103" t="str">
        <x:v>ID-221395589818</x:v>
      </x:c>
      <x:c r="E753" s="112" t="str">
        <x:v>[펌]노경찬 작가님 글 모음(2)</x:v>
      </x:c>
      <x:c r="F753" s="112" t="str">
        <x:v>웹소작법</x:v>
      </x:c>
      <x:c r="G753" s="112" t="str">
        <x:v>웹소설 직접</x:v>
      </x:c>
      <x:c r="H753" s="112" t="str">
        <x:v>플랫폼·투고·계약</x:v>
      </x:c>
      <x:c r="I753" s="112" t="n">
        <x:v>8</x:v>
      </x:c>
      <x:c r="J753" s="112" t="str">
        <x:v>매니지, 플랫폼</x:v>
      </x:c>
      <x:c r="K753" s="112" t="str">
        <x:v>재게시</x:v>
      </x:c>
      <x:c r="L753" s="112" t="str">
        <x:v>높음</x:v>
      </x:c>
      <x:c r="M753" s="112" t="str">
        <x:v>제목의 펌/퍼옴 표시</x:v>
      </x:c>
      <x:c r="N753" s="116" t="str">
        <x:v>http://gall.dcinside.com/mgallery/board/lists/?id=tgijjdd&amp;page=1&amp;search_pos=-14702&amp;s_type=search_name&amp;s_keyword=%EB%85%B8%EA%B2%BD%EC%B0%AC</x:v>
      </x:c>
      <x:c r="O753" s="116" t="str">
        <x:v>https://m.blog.naver.com/sntu2010/221395589818</x:v>
      </x:c>
      <x:c r="P753" s="112" t="str">
        <x:v>예</x:v>
      </x:c>
      <x:c r="Q753" s="113" t="str">
        <x:v>자동 분류·표본 검토 대상</x:v>
      </x:c>
    </x:row>
    <x:row r="754">
      <x:c r="A754" s="100" t="n">
        <x:v>753</x:v>
      </x:c>
      <x:c r="B754" s="101" t="n">
        <x:v>43413</x:v>
      </x:c>
      <x:c r="C754" s="102" t="n">
        <x:v>2018</x:v>
      </x:c>
      <x:c r="D754" s="103" t="str">
        <x:v>ID-221395516579</x:v>
      </x:c>
      <x:c r="E754" s="112" t="str">
        <x:v>[펌]노경찬 작가님 글 모음(1)</x:v>
      </x:c>
      <x:c r="F754" s="112" t="str">
        <x:v>웹소작법</x:v>
      </x:c>
      <x:c r="G754" s="112" t="str">
        <x:v>웹소설 직접</x:v>
      </x:c>
      <x:c r="H754" s="112" t="str">
        <x:v>작법·상업성</x:v>
      </x:c>
      <x:c r="I754" s="112" t="n">
        <x:v>2</x:v>
      </x:c>
      <x:c r="J754" s="112" t="str">
        <x:v>장르, 작법</x:v>
      </x:c>
      <x:c r="K754" s="112" t="str">
        <x:v>재게시</x:v>
      </x:c>
      <x:c r="L754" s="112" t="str">
        <x:v>높음</x:v>
      </x:c>
      <x:c r="M754" s="112" t="str">
        <x:v>제목의 펌/퍼옴 표시</x:v>
      </x:c>
      <x:c r="N754" s="116" t="str">
        <x:v>http://gall.dcinside.com/mgallery/board/lists/?id=tgijjdd&amp;page=1&amp;search_pos=-14702&amp;s_type=search_name&amp;s_keyword=%EB%85%B8%EA%B2%BD%EC%B0%AC</x:v>
      </x:c>
      <x:c r="O754" s="116" t="str">
        <x:v>https://m.blog.naver.com/sntu2010/221395516579</x:v>
      </x:c>
      <x:c r="P754" s="112" t="str">
        <x:v>아니오</x:v>
      </x:c>
      <x:c r="Q754" s="113" t="str">
        <x:v>자동 분류·표본 검토 대상</x:v>
      </x:c>
    </x:row>
    <x:row r="755">
      <x:c r="A755" s="100" t="n">
        <x:v>754</x:v>
      </x:c>
      <x:c r="B755" s="101" t="n">
        <x:v>43413</x:v>
      </x:c>
      <x:c r="C755" s="102" t="n">
        <x:v>2018</x:v>
      </x:c>
      <x:c r="D755" s="103" t="str">
        <x:v>ID-221395508246</x:v>
      </x:c>
      <x:c r="E755" s="112" t="str">
        <x:v>[펌]노경찬 작가님이 후배들에게 알려주고 싶은 것 1~8</x:v>
      </x:c>
      <x:c r="F755" s="112" t="str">
        <x:v>웹소작법</x:v>
      </x:c>
      <x:c r="G755" s="112" t="str">
        <x:v>웹소설 직접</x:v>
      </x:c>
      <x:c r="H755" s="112" t="str">
        <x:v>작법·상업성</x:v>
      </x:c>
      <x:c r="I755" s="112" t="n">
        <x:v>2</x:v>
      </x:c>
      <x:c r="J755" s="112" t="str">
        <x:v>문장, 작법</x:v>
      </x:c>
      <x:c r="K755" s="112" t="str">
        <x:v>재게시</x:v>
      </x:c>
      <x:c r="L755" s="112" t="str">
        <x:v>높음</x:v>
      </x:c>
      <x:c r="M755" s="112" t="str">
        <x:v>제목의 펌/퍼옴 표시</x:v>
      </x:c>
      <x:c r="N755" s="116" t="str">
        <x:v>http://gall.dcinside.com/mgallery/board/lists/?id=tgijjdd&amp;page=1&amp;search_pos=-54702&amp;s_type=search_name&amp;s_keyword=%EB%85%B8%EA%B2%BD%EC%B0%AC</x:v>
      </x:c>
      <x:c r="O755" s="116" t="str">
        <x:v>https://m.blog.naver.com/sntu2010/221395508246</x:v>
      </x:c>
      <x:c r="P755" s="112" t="str">
        <x:v>아니오</x:v>
      </x:c>
      <x:c r="Q755" s="113" t="str">
        <x:v>자동 분류·표본 검토 대상</x:v>
      </x:c>
    </x:row>
    <x:row r="756">
      <x:c r="A756" s="100" t="n">
        <x:v>755</x:v>
      </x:c>
      <x:c r="B756" s="101" t="n">
        <x:v>43413</x:v>
      </x:c>
      <x:c r="C756" s="102" t="n">
        <x:v>2018</x:v>
      </x:c>
      <x:c r="D756" s="103" t="str">
        <x:v>ID-221395498512</x:v>
      </x:c>
      <x:c r="E756" s="112" t="str">
        <x:v>[펌]장르문학이란?</x:v>
      </x:c>
      <x:c r="F756" s="112" t="str">
        <x:v>웹소작법</x:v>
      </x:c>
      <x:c r="G756" s="112" t="str">
        <x:v>웹소설 직접</x:v>
      </x:c>
      <x:c r="H756" s="112" t="str">
        <x:v>작법·상업성</x:v>
      </x:c>
      <x:c r="I756" s="112" t="n">
        <x:v>28</x:v>
      </x:c>
      <x:c r="J756" s="112" t="str">
        <x:v>장르, 작법</x:v>
      </x:c>
      <x:c r="K756" s="112" t="str">
        <x:v>재게시</x:v>
      </x:c>
      <x:c r="L756" s="112" t="str">
        <x:v>높음</x:v>
      </x:c>
      <x:c r="M756" s="112" t="str">
        <x:v>제목의 펌/퍼옴 표시</x:v>
      </x:c>
      <x:c r="N756" s="116" t="str">
        <x:v>https://namu.wiki/w/%EC%9E%A5%EB%A5%B4%EB%AC%B8%ED%95%99</x:v>
      </x:c>
      <x:c r="O756" s="116" t="str">
        <x:v>https://m.blog.naver.com/sntu2010/221395498512</x:v>
      </x:c>
      <x:c r="P756" s="112" t="str">
        <x:v>예</x:v>
      </x:c>
      <x:c r="Q756" s="113" t="str">
        <x:v>자동 분류·표본 검토 대상</x:v>
      </x:c>
    </x:row>
    <x:row r="757">
      <x:c r="A757" s="100" t="n">
        <x:v>756</x:v>
      </x:c>
      <x:c r="B757" s="101" t="n">
        <x:v>43413</x:v>
      </x:c>
      <x:c r="C757" s="102" t="n">
        <x:v>2018</x:v>
      </x:c>
      <x:c r="D757" s="103" t="str">
        <x:v>ID-221395497830</x:v>
      </x:c>
      <x:c r="E757" s="112" t="str">
        <x:v>[펌]라이트 노벨이란?</x:v>
      </x:c>
      <x:c r="F757" s="112" t="str">
        <x:v>웹소작법</x:v>
      </x:c>
      <x:c r="G757" s="112" t="str">
        <x:v>웹소설 직접</x:v>
      </x:c>
      <x:c r="H757" s="112" t="str">
        <x:v>초반부/연독률</x:v>
      </x:c>
      <x:c r="I757" s="112" t="n">
        <x:v>1</x:v>
      </x:c>
      <x:c r="J757" s="112" t="str">
        <x:v>유입</x:v>
      </x:c>
      <x:c r="K757" s="112" t="str">
        <x:v>재게시</x:v>
      </x:c>
      <x:c r="L757" s="112" t="str">
        <x:v>높음</x:v>
      </x:c>
      <x:c r="M757" s="112" t="str">
        <x:v>제목의 펌/퍼옴 표시</x:v>
      </x:c>
      <x:c r="N757" s="116" t="str">
        <x:v>https://namu.wiki/w/%EB%9D%BC%EC%9D%B4%ED%8A%B8%20%EB%85%B8%EB%B2%A8</x:v>
      </x:c>
      <x:c r="O757" s="116" t="str">
        <x:v>https://m.blog.naver.com/sntu2010/221395497830</x:v>
      </x:c>
      <x:c r="P757" s="112" t="str">
        <x:v>아니오</x:v>
      </x:c>
      <x:c r="Q757" s="113" t="str">
        <x:v>자동 분류·표본 검토 대상</x:v>
      </x:c>
    </x:row>
    <x:row r="758">
      <x:c r="A758" s="100" t="n">
        <x:v>757</x:v>
      </x:c>
      <x:c r="B758" s="101" t="n">
        <x:v>43411</x:v>
      </x:c>
      <x:c r="C758" s="102" t="n">
        <x:v>2018</x:v>
      </x:c>
      <x:c r="D758" s="103" t="str">
        <x:v>ID-221393845471</x:v>
      </x:c>
      <x:c r="E758" s="112" t="str">
        <x:v>[펌]웹소설에서 레이드물 장르란?</x:v>
      </x:c>
      <x:c r="F758" s="112" t="str">
        <x:v>웹소작법</x:v>
      </x:c>
      <x:c r="G758" s="112" t="str">
        <x:v>웹소설 직접</x:v>
      </x:c>
      <x:c r="H758" s="112" t="str">
        <x:v>작법·상업성</x:v>
      </x:c>
      <x:c r="I758" s="112" t="n">
        <x:v>26</x:v>
      </x:c>
      <x:c r="J758" s="112" t="str">
        <x:v>장르, 작법</x:v>
      </x:c>
      <x:c r="K758" s="112" t="str">
        <x:v>재게시</x:v>
      </x:c>
      <x:c r="L758" s="112" t="str">
        <x:v>높음</x:v>
      </x:c>
      <x:c r="M758" s="112" t="str">
        <x:v>제목의 펌/퍼옴 표시</x:v>
      </x:c>
      <x:c r="N758" s="116" t="str">
        <x:v>https://namu.wiki/w/%EB%A0%88%EC%9D%B4%EB%93%9C%EB%AC%BC</x:v>
      </x:c>
      <x:c r="O758" s="116" t="str">
        <x:v>https://m.blog.naver.com/sntu2010/221393845471</x:v>
      </x:c>
      <x:c r="P758" s="112" t="str">
        <x:v>예</x:v>
      </x:c>
      <x:c r="Q758" s="113" t="str">
        <x:v>자동 분류·표본 검토 대상</x:v>
      </x:c>
    </x:row>
    <x:row r="759">
      <x:c r="A759" s="100" t="n">
        <x:v>758</x:v>
      </x:c>
      <x:c r="B759" s="101" t="n">
        <x:v>43411</x:v>
      </x:c>
      <x:c r="C759" s="102" t="n">
        <x:v>2018</x:v>
      </x:c>
      <x:c r="D759" s="103" t="str">
        <x:v>ID-221393842100</x:v>
      </x:c>
      <x:c r="E759" s="112" t="str">
        <x:v>[펌]한국식 이세계물 웹소설</x:v>
      </x:c>
      <x:c r="F759" s="112" t="str">
        <x:v>웹소작법</x:v>
      </x:c>
      <x:c r="G759" s="112" t="str">
        <x:v>웹소설 직접</x:v>
      </x:c>
      <x:c r="H759" s="112" t="str">
        <x:v>작법·상업성</x:v>
      </x:c>
      <x:c r="I759" s="112" t="n">
        <x:v>6</x:v>
      </x:c>
      <x:c r="J759" s="112" t="str">
        <x:v>장르, 클리셰, 사이다, 설정, 작법</x:v>
      </x:c>
      <x:c r="K759" s="112" t="str">
        <x:v>재게시</x:v>
      </x:c>
      <x:c r="L759" s="112" t="str">
        <x:v>높음</x:v>
      </x:c>
      <x:c r="M759" s="112" t="str">
        <x:v>제목의 펌/퍼옴 표시</x:v>
      </x:c>
      <x:c r="N759" s="116" t="str">
        <x:v>https://namu.wiki/w/%ED%95%9C%EA%B5%AD%EC%8B%9D%20%EC%9D%B4%EC%84%B8%EA%B3%84%EB%AC%BC</x:v>
      </x:c>
      <x:c r="O759" s="116" t="str">
        <x:v>https://m.blog.naver.com/sntu2010/221393842100</x:v>
      </x:c>
      <x:c r="P759" s="112" t="str">
        <x:v>예</x:v>
      </x:c>
      <x:c r="Q759" s="113" t="str">
        <x:v>자동 분류·표본 검토 대상</x:v>
      </x:c>
    </x:row>
    <x:row r="760">
      <x:c r="A760" s="100" t="n">
        <x:v>759</x:v>
      </x:c>
      <x:c r="B760" s="101" t="n">
        <x:v>43411</x:v>
      </x:c>
      <x:c r="C760" s="102" t="n">
        <x:v>2018</x:v>
      </x:c>
      <x:c r="D760" s="103" t="str">
        <x:v>ID-221393576366</x:v>
      </x:c>
      <x:c r="E760" s="112" t="str">
        <x:v>[펌]게임소설 - 비판</x:v>
      </x:c>
      <x:c r="F760" s="112" t="str">
        <x:v>웹소작법</x:v>
      </x:c>
      <x:c r="G760" s="112" t="str">
        <x:v>웹소설 직접</x:v>
      </x:c>
      <x:c r="H760" s="112" t="str">
        <x:v>작법·상업성</x:v>
      </x:c>
      <x:c r="I760" s="112" t="n">
        <x:v>5</x:v>
      </x:c>
      <x:c r="J760" s="112" t="str">
        <x:v>소재, 장르, 독자, 작법</x:v>
      </x:c>
      <x:c r="K760" s="112" t="str">
        <x:v>재게시</x:v>
      </x:c>
      <x:c r="L760" s="112" t="str">
        <x:v>높음</x:v>
      </x:c>
      <x:c r="M760" s="112" t="str">
        <x:v>제목의 펌/퍼옴 표시</x:v>
      </x:c>
      <x:c r="N760" s="116" t="str">
        <x:v>https://namu.wiki/w/%EA%B2%8C%EC%9E%84%20%EC%86%8C%EC%84%A4/%EB%B9%84%ED%8C%90?from=%EA%B2%9C%ED%8C%90%EC%86%8C%20%EB%B9%84%ED%8C%90</x:v>
      </x:c>
      <x:c r="O760" s="116" t="str">
        <x:v>https://m.blog.naver.com/sntu2010/221393576366</x:v>
      </x:c>
      <x:c r="P760" s="112" t="str">
        <x:v>아니오</x:v>
      </x:c>
      <x:c r="Q760" s="113" t="str">
        <x:v>자동 분류·표본 검토 대상</x:v>
      </x:c>
    </x:row>
    <x:row r="761">
      <x:c r="A761" s="100" t="n">
        <x:v>760</x:v>
      </x:c>
      <x:c r="B761" s="101" t="n">
        <x:v>43411</x:v>
      </x:c>
      <x:c r="C761" s="102" t="n">
        <x:v>2018</x:v>
      </x:c>
      <x:c r="D761" s="103" t="str">
        <x:v>ID-221393574339</x:v>
      </x:c>
      <x:c r="E761" s="112" t="str">
        <x:v>[펌]게임소설 - 작법</x:v>
      </x:c>
      <x:c r="F761" s="112" t="str">
        <x:v>웹소작법</x:v>
      </x:c>
      <x:c r="G761" s="112" t="str">
        <x:v>웹소설 직접</x:v>
      </x:c>
      <x:c r="H761" s="112" t="str">
        <x:v>작법·상업성</x:v>
      </x:c>
      <x:c r="I761" s="112" t="n">
        <x:v>25</x:v>
      </x:c>
      <x:c r="J761" s="112" t="str">
        <x:v>작법, 클리셰, 소재</x:v>
      </x:c>
      <x:c r="K761" s="112" t="str">
        <x:v>재게시</x:v>
      </x:c>
      <x:c r="L761" s="112" t="str">
        <x:v>높음</x:v>
      </x:c>
      <x:c r="M761" s="112" t="str">
        <x:v>제목의 펌/퍼옴 표시</x:v>
      </x:c>
      <x:c r="N761" s="116" t="str">
        <x:v>https://namu.wiki/w/%EC%86%8C%EC%84%A4%EC%9E%91%EB%B2%95/%EA%B2%8C%EC%9E%84%20%EC%86%8C%EC%84%A4</x:v>
      </x:c>
      <x:c r="O761" s="116" t="str">
        <x:v>https://m.blog.naver.com/sntu2010/221393574339</x:v>
      </x:c>
      <x:c r="P761" s="112" t="str">
        <x:v>예</x:v>
      </x:c>
      <x:c r="Q761" s="113" t="str">
        <x:v>자동 분류·표본 검토 대상</x:v>
      </x:c>
    </x:row>
    <x:row r="762">
      <x:c r="A762" s="100" t="n">
        <x:v>761</x:v>
      </x:c>
      <x:c r="B762" s="101" t="n">
        <x:v>43411</x:v>
      </x:c>
      <x:c r="C762" s="102" t="n">
        <x:v>2018</x:v>
      </x:c>
      <x:c r="D762" s="103" t="str">
        <x:v>ID-221393572997</x:v>
      </x:c>
      <x:c r="E762" s="112" t="str">
        <x:v>[펌]게임소설 - 요소</x:v>
      </x:c>
      <x:c r="F762" s="112" t="str">
        <x:v>웹소작법</x:v>
      </x:c>
      <x:c r="G762" s="112" t="str">
        <x:v>웹소설 직접</x:v>
      </x:c>
      <x:c r="H762" s="112" t="str">
        <x:v>작법·상업성</x:v>
      </x:c>
      <x:c r="I762" s="112" t="n">
        <x:v>8</x:v>
      </x:c>
      <x:c r="J762" s="112" t="str">
        <x:v>장르, 클리셰, 설정, 소재, 작법</x:v>
      </x:c>
      <x:c r="K762" s="112" t="str">
        <x:v>재게시</x:v>
      </x:c>
      <x:c r="L762" s="112" t="str">
        <x:v>높음</x:v>
      </x:c>
      <x:c r="M762" s="112" t="str">
        <x:v>제목의 펌/퍼옴 표시</x:v>
      </x:c>
      <x:c r="N762" s="116" t="str">
        <x:v>https://namu.wiki/w/%EA%B2%8C%EC%9E%84%20%EC%86%8C%EC%84%A4/%EC%9A%94%EC%86%8C</x:v>
      </x:c>
      <x:c r="O762" s="116" t="str">
        <x:v>https://m.blog.naver.com/sntu2010/221393572997</x:v>
      </x:c>
      <x:c r="P762" s="112" t="str">
        <x:v>예</x:v>
      </x:c>
      <x:c r="Q762" s="113" t="str">
        <x:v>자동 분류·표본 검토 대상</x:v>
      </x:c>
    </x:row>
    <x:row r="763">
      <x:c r="A763" s="100" t="n">
        <x:v>762</x:v>
      </x:c>
      <x:c r="B763" s="101" t="n">
        <x:v>43410</x:v>
      </x:c>
      <x:c r="C763" s="102" t="n">
        <x:v>2018</x:v>
      </x:c>
      <x:c r="D763" s="103" t="str">
        <x:v>ID-221393203933</x:v>
      </x:c>
      <x:c r="E763" s="112" t="str">
        <x:v>[펌]게임 소설이란?</x:v>
      </x:c>
      <x:c r="F763" s="112" t="str">
        <x:v>웹소작법</x:v>
      </x:c>
      <x:c r="G763" s="112" t="str">
        <x:v>웹소설 직접</x:v>
      </x:c>
      <x:c r="H763" s="112" t="str">
        <x:v>작법·상업성</x:v>
      </x:c>
      <x:c r="I763" s="112" t="n">
        <x:v>8</x:v>
      </x:c>
      <x:c r="J763" s="112" t="str">
        <x:v>장르, 소재, 클리셰, 작법</x:v>
      </x:c>
      <x:c r="K763" s="112" t="str">
        <x:v>재게시</x:v>
      </x:c>
      <x:c r="L763" s="112" t="str">
        <x:v>높음</x:v>
      </x:c>
      <x:c r="M763" s="112" t="str">
        <x:v>제목의 펌/퍼옴 표시</x:v>
      </x:c>
      <x:c r="N763" s="116" t="str">
        <x:v>https://namu.wiki/w/%EA%B2%8C%EC%9E%84%20%EC%86%8C%EC%84%A4</x:v>
      </x:c>
      <x:c r="O763" s="116" t="str">
        <x:v>https://m.blog.naver.com/sntu2010/221393203933</x:v>
      </x:c>
      <x:c r="P763" s="112" t="str">
        <x:v>예</x:v>
      </x:c>
      <x:c r="Q763" s="113" t="str">
        <x:v>자동 분류·표본 검토 대상</x:v>
      </x:c>
    </x:row>
    <x:row r="764">
      <x:c r="A764" s="100" t="n">
        <x:v>763</x:v>
      </x:c>
      <x:c r="B764" s="101" t="n">
        <x:v>43409</x:v>
      </x:c>
      <x:c r="C764" s="102" t="n">
        <x:v>2018</x:v>
      </x:c>
      <x:c r="D764" s="103" t="str">
        <x:v>ID-221392448754</x:v>
      </x:c>
      <x:c r="E764" s="112" t="str">
        <x:v>[펌]카카오페이지 기다리면무료 연재 후기</x:v>
      </x:c>
      <x:c r="F764" s="112" t="str">
        <x:v>웹소작법</x:v>
      </x:c>
      <x:c r="G764" s="112" t="str">
        <x:v>웹소설 직접</x:v>
      </x:c>
      <x:c r="H764" s="112" t="str">
        <x:v>플랫폼·투고·계약</x:v>
      </x:c>
      <x:c r="I764" s="112" t="n">
        <x:v>28</x:v>
      </x:c>
      <x:c r="J764" s="112" t="str">
        <x:v>카카오, 기무, 문피아</x:v>
      </x:c>
      <x:c r="K764" s="112" t="str">
        <x:v>재게시</x:v>
      </x:c>
      <x:c r="L764" s="112" t="str">
        <x:v>높음</x:v>
      </x:c>
      <x:c r="M764" s="112" t="str">
        <x:v>제목의 펌/퍼옴 표시</x:v>
      </x:c>
      <x:c r="N764" s="116" t="str">
        <x:v>http://gall.dcinside.com/mgallery/board/view/?id=tgijjdd&amp;no=55072&amp;exception_mode=recommend&amp;page=1</x:v>
      </x:c>
      <x:c r="O764" s="116" t="str">
        <x:v>https://m.blog.naver.com/sntu2010/221392448754</x:v>
      </x:c>
      <x:c r="P764" s="112" t="str">
        <x:v>예</x:v>
      </x:c>
      <x:c r="Q764" s="113" t="str">
        <x:v>자동 분류·표본 검토 대상</x:v>
      </x:c>
    </x:row>
    <x:row r="765">
      <x:c r="A765" s="100" t="n">
        <x:v>764</x:v>
      </x:c>
      <x:c r="B765" s="101" t="n">
        <x:v>43408</x:v>
      </x:c>
      <x:c r="C765" s="102" t="n">
        <x:v>2018</x:v>
      </x:c>
      <x:c r="D765" s="103" t="str">
        <x:v>ID-221391678150</x:v>
      </x:c>
      <x:c r="E765" s="112" t="str">
        <x:v>[펌]죠죠작가의 작법서 이야기</x:v>
      </x:c>
      <x:c r="F765" s="112" t="str">
        <x:v>웹소작법</x:v>
      </x:c>
      <x:c r="G765" s="112" t="str">
        <x:v>웹소설 직접</x:v>
      </x:c>
      <x:c r="H765" s="112" t="str">
        <x:v>작법·상업성</x:v>
      </x:c>
      <x:c r="I765" s="112" t="n">
        <x:v>22</x:v>
      </x:c>
      <x:c r="J765" s="112" t="str">
        <x:v>작법</x:v>
      </x:c>
      <x:c r="K765" s="112" t="str">
        <x:v>재게시</x:v>
      </x:c>
      <x:c r="L765" s="112" t="str">
        <x:v>높음</x:v>
      </x:c>
      <x:c r="M765" s="112" t="str">
        <x:v>제목의 펌/퍼옴 표시</x:v>
      </x:c>
      <x:c r="N765" s="116" t="str">
        <x:v>http://gall.dcinside.com/mgallery/board/view/?id=tgijjdd&amp;no=54334&amp;exception_mode=recommend&amp;page=1</x:v>
      </x:c>
      <x:c r="O765" s="116" t="str">
        <x:v>https://m.blog.naver.com/sntu2010/221391678150</x:v>
      </x:c>
      <x:c r="P765" s="112" t="str">
        <x:v>예</x:v>
      </x:c>
      <x:c r="Q765" s="113" t="str">
        <x:v>자동 분류·표본 검토 대상</x:v>
      </x:c>
    </x:row>
    <x:row r="766">
      <x:c r="A766" s="100" t="n">
        <x:v>765</x:v>
      </x:c>
      <x:c r="B766" s="101" t="n">
        <x:v>43406</x:v>
      </x:c>
      <x:c r="C766" s="102" t="n">
        <x:v>2018</x:v>
      </x:c>
      <x:c r="D766" s="103" t="str">
        <x:v>ID-221390544751</x:v>
      </x:c>
      <x:c r="E766" s="112" t="str">
        <x:v>[펌]퓨전 판타지 소설이란?</x:v>
      </x:c>
      <x:c r="F766" s="112" t="str">
        <x:v>웹소작법</x:v>
      </x:c>
      <x:c r="G766" s="112" t="str">
        <x:v>웹소설 직접</x:v>
      </x:c>
      <x:c r="H766" s="112" t="str">
        <x:v>작법·상업성</x:v>
      </x:c>
      <x:c r="I766" s="112" t="n">
        <x:v>3</x:v>
      </x:c>
      <x:c r="J766" s="112" t="str">
        <x:v>장르, 작법</x:v>
      </x:c>
      <x:c r="K766" s="112" t="str">
        <x:v>재게시</x:v>
      </x:c>
      <x:c r="L766" s="112" t="str">
        <x:v>높음</x:v>
      </x:c>
      <x:c r="M766" s="112" t="str">
        <x:v>제목의 펌/퍼옴 표시</x:v>
      </x:c>
      <x:c r="N766" s="116" t="str">
        <x:v>https://namu.wiki/w/%ED%93%A8%EC%A0%84%20%ED%8C%90%ED%83%80%EC%A7%80?from=%ED%93%A8%EC%A0%84%20%ED%8C%90%ED%83%80%EC%A7%80%20%EC%86%8C%EC%84%A4</x:v>
      </x:c>
      <x:c r="O766" s="116" t="str">
        <x:v>https://m.blog.naver.com/sntu2010/221390544751</x:v>
      </x:c>
      <x:c r="P766" s="112" t="str">
        <x:v>아니오</x:v>
      </x:c>
      <x:c r="Q766" s="113" t="str">
        <x:v>자동 분류·표본 검토 대상</x:v>
      </x:c>
    </x:row>
    <x:row r="767">
      <x:c r="A767" s="100" t="n">
        <x:v>766</x:v>
      </x:c>
      <x:c r="B767" s="101" t="n">
        <x:v>43406</x:v>
      </x:c>
      <x:c r="C767" s="102" t="n">
        <x:v>2018</x:v>
      </x:c>
      <x:c r="D767" s="103" t="str">
        <x:v>ID-221390543028</x:v>
      </x:c>
      <x:c r="E767" s="112" t="str">
        <x:v>[펌]판타지 소설이란?</x:v>
      </x:c>
      <x:c r="F767" s="112" t="str">
        <x:v>웹소작법</x:v>
      </x:c>
      <x:c r="G767" s="112" t="str">
        <x:v>웹소설 직접</x:v>
      </x:c>
      <x:c r="H767" s="112" t="str">
        <x:v>작법·상업성</x:v>
      </x:c>
      <x:c r="I767" s="112" t="n">
        <x:v>6</x:v>
      </x:c>
      <x:c r="J767" s="112" t="str">
        <x:v>클리셰, 소재, 장르, 작법</x:v>
      </x:c>
      <x:c r="K767" s="112" t="str">
        <x:v>재게시</x:v>
      </x:c>
      <x:c r="L767" s="112" t="str">
        <x:v>높음</x:v>
      </x:c>
      <x:c r="M767" s="112" t="str">
        <x:v>제목의 펌/퍼옴 표시</x:v>
      </x:c>
      <x:c r="N767" s="116" t="str">
        <x:v>https://namu.wiki/w/%ED%8C%90%ED%83%80%EC%A7%80%20%EC%86%8C%EC%84%A4</x:v>
      </x:c>
      <x:c r="O767" s="116" t="str">
        <x:v>https://m.blog.naver.com/sntu2010/221390543028</x:v>
      </x:c>
      <x:c r="P767" s="112" t="str">
        <x:v>예</x:v>
      </x:c>
      <x:c r="Q767" s="113" t="str">
        <x:v>자동 분류·표본 검토 대상</x:v>
      </x:c>
    </x:row>
    <x:row r="768">
      <x:c r="A768" s="100" t="n">
        <x:v>767</x:v>
      </x:c>
      <x:c r="B768" s="101" t="n">
        <x:v>43405</x:v>
      </x:c>
      <x:c r="C768" s="102" t="n">
        <x:v>2018</x:v>
      </x:c>
      <x:c r="D768" s="103" t="str">
        <x:v>ID-221389861728</x:v>
      </x:c>
      <x:c r="E768" s="112" t="str">
        <x:v>[펌]판타지를 여행하는 현대인을 위한 안내서</x:v>
      </x:c>
      <x:c r="F768" s="112" t="str">
        <x:v>웹소작법</x:v>
      </x:c>
      <x:c r="G768" s="112" t="str">
        <x:v>웹소설 직접</x:v>
      </x:c>
      <x:c r="H768" s="112" t="str">
        <x:v>캐릭터·전개</x:v>
      </x:c>
      <x:c r="I768" s="112" t="n">
        <x:v>2</x:v>
      </x:c>
      <x:c r="J768" s="112" t="str">
        <x:v>전개, 주인공</x:v>
      </x:c>
      <x:c r="K768" s="112" t="str">
        <x:v>재게시</x:v>
      </x:c>
      <x:c r="L768" s="112" t="str">
        <x:v>높음</x:v>
      </x:c>
      <x:c r="M768" s="112" t="str">
        <x:v>제목의 펌/퍼옴 표시</x:v>
      </x:c>
      <x:c r="N768" s="116" t="str">
        <x:v>https://namu.wiki/w/%ED%8C%90%ED%83%80%EC%A7%80%EB%A5%BC%20%EC%97%AC%ED%96%89%ED%95%98%EB%8A%94%20%ED%98%84%EB%8C%80%EC%9D%B8%EC%9D%84%20%EC%9C%84%ED%95%9C%20%EC%95%88%EB%82%B4%EC%84%9C</x:v>
      </x:c>
      <x:c r="O768" s="116" t="str">
        <x:v>https://m.blog.naver.com/sntu2010/221389861728</x:v>
      </x:c>
      <x:c r="P768" s="112" t="str">
        <x:v>아니오</x:v>
      </x:c>
      <x:c r="Q768" s="113" t="str">
        <x:v>자동 분류·표본 검토 대상</x:v>
      </x:c>
    </x:row>
    <x:row r="769">
      <x:c r="A769" s="100" t="n">
        <x:v>768</x:v>
      </x:c>
      <x:c r="B769" s="101" t="n">
        <x:v>43405</x:v>
      </x:c>
      <x:c r="C769" s="102" t="n">
        <x:v>2018</x:v>
      </x:c>
      <x:c r="D769" s="103" t="str">
        <x:v>ID-221389838678</x:v>
      </x:c>
      <x:c r="E769" s="112" t="str">
        <x:v>[펌]양산형 판타지 소설의 문제점</x:v>
      </x:c>
      <x:c r="F769" s="112" t="str">
        <x:v>웹소작법</x:v>
      </x:c>
      <x:c r="G769" s="112" t="str">
        <x:v>웹소설 직접</x:v>
      </x:c>
      <x:c r="H769" s="112" t="str">
        <x:v>작법·상업성</x:v>
      </x:c>
      <x:c r="I769" s="112" t="n">
        <x:v>4</x:v>
      </x:c>
      <x:c r="J769" s="112" t="str">
        <x:v>독자, 클리셰, 재미, 작법</x:v>
      </x:c>
      <x:c r="K769" s="112" t="str">
        <x:v>재게시</x:v>
      </x:c>
      <x:c r="L769" s="112" t="str">
        <x:v>높음</x:v>
      </x:c>
      <x:c r="M769" s="112" t="str">
        <x:v>제목의 펌/퍼옴 표시</x:v>
      </x:c>
      <x:c r="N769" s="116" t="str">
        <x:v>https://namu.wiki/w/%EC%96%91%ED%8C%90%EC%86%8C/%EB%AC%B8%EC%A0%9C%EC%A0%901.</x:v>
      </x:c>
      <x:c r="O769" s="116" t="str">
        <x:v>https://m.blog.naver.com/sntu2010/221389838678</x:v>
      </x:c>
      <x:c r="P769" s="112" t="str">
        <x:v>아니오</x:v>
      </x:c>
      <x:c r="Q769" s="113" t="str">
        <x:v>자동 분류·표본 검토 대상</x:v>
      </x:c>
    </x:row>
    <x:row r="770">
      <x:c r="A770" s="100" t="n">
        <x:v>769</x:v>
      </x:c>
      <x:c r="B770" s="101" t="n">
        <x:v>43405</x:v>
      </x:c>
      <x:c r="C770" s="102" t="n">
        <x:v>2018</x:v>
      </x:c>
      <x:c r="D770" s="103" t="str">
        <x:v>ID-221389824433</x:v>
      </x:c>
      <x:c r="E770" s="112" t="str">
        <x:v>[펌]양산형 판타지 소설이란?</x:v>
      </x:c>
      <x:c r="F770" s="112" t="str">
        <x:v>웹소작법</x:v>
      </x:c>
      <x:c r="G770" s="112" t="str">
        <x:v>웹소설 직접</x:v>
      </x:c>
      <x:c r="H770" s="112" t="str">
        <x:v>작법·상업성</x:v>
      </x:c>
      <x:c r="I770" s="112" t="n">
        <x:v>5</x:v>
      </x:c>
      <x:c r="J770" s="112" t="str">
        <x:v>장르, 설정, 상업, 작법</x:v>
      </x:c>
      <x:c r="K770" s="112" t="str">
        <x:v>재게시</x:v>
      </x:c>
      <x:c r="L770" s="112" t="str">
        <x:v>높음</x:v>
      </x:c>
      <x:c r="M770" s="112" t="str">
        <x:v>제목의 펌/퍼옴 표시</x:v>
      </x:c>
      <x:c r="N770" s="116" t="str">
        <x:v>https://namu.wiki/w/%EC%96%91%ED%8C%90%EC%86%8C1.</x:v>
      </x:c>
      <x:c r="O770" s="116" t="str">
        <x:v>https://m.blog.naver.com/sntu2010/221389824433</x:v>
      </x:c>
      <x:c r="P770" s="112" t="str">
        <x:v>아니오</x:v>
      </x:c>
      <x:c r="Q770" s="113" t="str">
        <x:v>자동 분류·표본 검토 대상</x:v>
      </x:c>
    </x:row>
    <x:row r="771">
      <x:c r="A771" s="100" t="n">
        <x:v>770</x:v>
      </x:c>
      <x:c r="B771" s="101" t="n">
        <x:v>43405</x:v>
      </x:c>
      <x:c r="C771" s="102" t="n">
        <x:v>2018</x:v>
      </x:c>
      <x:c r="D771" s="103" t="str">
        <x:v>ID-221389820056</x:v>
      </x:c>
      <x:c r="E771" s="112" t="str">
        <x:v>[펌]소설작법 - 양판소</x:v>
      </x:c>
      <x:c r="F771" s="112" t="str">
        <x:v>웹소작법</x:v>
      </x:c>
      <x:c r="G771" s="112" t="str">
        <x:v>웹소설 직접</x:v>
      </x:c>
      <x:c r="H771" s="112" t="str">
        <x:v>작법·상업성</x:v>
      </x:c>
      <x:c r="I771" s="112" t="n">
        <x:v>26</x:v>
      </x:c>
      <x:c r="J771" s="112" t="str">
        <x:v>작법, 재미, 글쓰기</x:v>
      </x:c>
      <x:c r="K771" s="112" t="str">
        <x:v>재게시</x:v>
      </x:c>
      <x:c r="L771" s="112" t="str">
        <x:v>높음</x:v>
      </x:c>
      <x:c r="M771" s="112" t="str">
        <x:v>제목의 펌/퍼옴 표시</x:v>
      </x:c>
      <x:c r="N771" s="116" t="str">
        <x:v>https://namu.wiki/w/%EC%86%8C%EC%84%A4%EC%9E%91%EB%B2%95/%EC%96%91%ED%8C%90%EC%86%8C</x:v>
      </x:c>
      <x:c r="O771" s="116" t="str">
        <x:v>https://m.blog.naver.com/sntu2010/221389820056</x:v>
      </x:c>
      <x:c r="P771" s="112" t="str">
        <x:v>예</x:v>
      </x:c>
      <x:c r="Q771" s="113" t="str">
        <x:v>자동 분류·표본 검토 대상</x:v>
      </x:c>
    </x:row>
    <x:row r="772">
      <x:c r="A772" s="100" t="n">
        <x:v>771</x:v>
      </x:c>
      <x:c r="B772" s="101" t="n">
        <x:v>43405</x:v>
      </x:c>
      <x:c r="C772" s="102" t="n">
        <x:v>2018</x:v>
      </x:c>
      <x:c r="D772" s="103" t="str">
        <x:v>ID-221389816753</x:v>
      </x:c>
      <x:c r="E772" s="112" t="str">
        <x:v>[펌]소설 작법 - 구체적 요소</x:v>
      </x:c>
      <x:c r="F772" s="112" t="str">
        <x:v>웹소작법</x:v>
      </x:c>
      <x:c r="G772" s="112" t="str">
        <x:v>웹소설 직접</x:v>
      </x:c>
      <x:c r="H772" s="112" t="str">
        <x:v>작법·상업성</x:v>
      </x:c>
      <x:c r="I772" s="112" t="n">
        <x:v>24</x:v>
      </x:c>
      <x:c r="J772" s="112" t="str">
        <x:v>작법, 문장, 독자</x:v>
      </x:c>
      <x:c r="K772" s="112" t="str">
        <x:v>재게시</x:v>
      </x:c>
      <x:c r="L772" s="112" t="str">
        <x:v>높음</x:v>
      </x:c>
      <x:c r="M772" s="112" t="str">
        <x:v>제목의 펌/퍼옴 표시</x:v>
      </x:c>
      <x:c r="N772" s="116" t="str">
        <x:v>https://namu.wiki/w/%EC%86%8C%EC%84%A4%EC%9E%91%EB%B2%95/%EA%B5%AC%EC%B2%B4%EC%A0%81%20%EC%9A%94%EC%86%8C</x:v>
      </x:c>
      <x:c r="O772" s="116" t="str">
        <x:v>https://m.blog.naver.com/sntu2010/221389816753</x:v>
      </x:c>
      <x:c r="P772" s="112" t="str">
        <x:v>예</x:v>
      </x:c>
      <x:c r="Q772" s="113" t="str">
        <x:v>자동 분류·표본 검토 대상</x:v>
      </x:c>
    </x:row>
    <x:row r="773">
      <x:c r="A773" s="100" t="n">
        <x:v>772</x:v>
      </x:c>
      <x:c r="B773" s="101" t="n">
        <x:v>43404</x:v>
      </x:c>
      <x:c r="C773" s="102" t="n">
        <x:v>2018</x:v>
      </x:c>
      <x:c r="D773" s="103" t="str">
        <x:v>ID-221389084029</x:v>
      </x:c>
      <x:c r="E773" s="112" t="str">
        <x:v>[펌]양판소 - 필수 요소</x:v>
      </x:c>
      <x:c r="F773" s="112" t="str">
        <x:v>웹소작법</x:v>
      </x:c>
      <x:c r="G773" s="112" t="str">
        <x:v>웹소설 직접</x:v>
      </x:c>
      <x:c r="H773" s="112" t="str">
        <x:v>캐릭터·전개</x:v>
      </x:c>
      <x:c r="I773" s="112" t="n">
        <x:v>6</x:v>
      </x:c>
      <x:c r="J773" s="112" t="str">
        <x:v>주인공, 캐릭터, 인물</x:v>
      </x:c>
      <x:c r="K773" s="112" t="str">
        <x:v>재게시</x:v>
      </x:c>
      <x:c r="L773" s="112" t="str">
        <x:v>높음</x:v>
      </x:c>
      <x:c r="M773" s="112" t="str">
        <x:v>제목의 펌/퍼옴 표시</x:v>
      </x:c>
      <x:c r="N773" s="116" t="str">
        <x:v>https://namu.mirror.wiki/w/%EC%96%91%ED%8C%90%EC%86%8C/%ED%95%84%EC%88%98%EC%9A%94%EC%86%8C</x:v>
      </x:c>
      <x:c r="O773" s="116" t="str">
        <x:v>https://m.blog.naver.com/sntu2010/221389084029</x:v>
      </x:c>
      <x:c r="P773" s="112" t="str">
        <x:v>예</x:v>
      </x:c>
      <x:c r="Q773" s="113" t="str">
        <x:v>자동 분류·표본 검토 대상</x:v>
      </x:c>
    </x:row>
    <x:row r="774">
      <x:c r="A774" s="100" t="n">
        <x:v>773</x:v>
      </x:c>
      <x:c r="B774" s="101" t="n">
        <x:v>43404</x:v>
      </x:c>
      <x:c r="C774" s="102" t="n">
        <x:v>2018</x:v>
      </x:c>
      <x:c r="D774" s="103" t="str">
        <x:v>ID-221389078410</x:v>
      </x:c>
      <x:c r="E774" s="112" t="str">
        <x:v>[펌]양산형 판타지 소설 쓰는 법</x:v>
      </x:c>
      <x:c r="F774" s="112" t="str">
        <x:v>웹소작법</x:v>
      </x:c>
      <x:c r="G774" s="112" t="str">
        <x:v>웹소설 직접</x:v>
      </x:c>
      <x:c r="H774" s="112" t="str">
        <x:v>캐릭터·전개</x:v>
      </x:c>
      <x:c r="I774" s="112" t="n">
        <x:v>6</x:v>
      </x:c>
      <x:c r="J774" s="112" t="str">
        <x:v>주인공, 전개, 인물</x:v>
      </x:c>
      <x:c r="K774" s="112" t="str">
        <x:v>재게시</x:v>
      </x:c>
      <x:c r="L774" s="112" t="str">
        <x:v>높음</x:v>
      </x:c>
      <x:c r="M774" s="112" t="str">
        <x:v>제목의 펌/퍼옴 표시</x:v>
      </x:c>
      <x:c r="N774" s="116" t="str">
        <x:v>http://www.typemoon.net/bbs/board.php?bo_table=freeboard&amp;wr_id=317962&amp;sca=&amp;sfl=wr_subject&amp;stx=%C6%C7%C5%B8%C1%F6%C0%C7+%C0%DB%B9%FD&amp;sop=and&amp;spt=-25738)</x:v>
      </x:c>
      <x:c r="O774" s="116" t="str">
        <x:v>https://m.blog.naver.com/sntu2010/221389078410</x:v>
      </x:c>
      <x:c r="P774" s="112" t="str">
        <x:v>예</x:v>
      </x:c>
      <x:c r="Q774" s="113" t="str">
        <x:v>자동 분류·표본 검토 대상</x:v>
      </x:c>
    </x:row>
    <x:row r="775">
      <x:c r="A775" s="100" t="n">
        <x:v>774</x:v>
      </x:c>
      <x:c r="B775" s="101" t="n">
        <x:v>43404</x:v>
      </x:c>
      <x:c r="C775" s="102" t="n">
        <x:v>2018</x:v>
      </x:c>
      <x:c r="D775" s="103" t="str">
        <x:v>ID-221389064538</x:v>
      </x:c>
      <x:c r="E775" s="112" t="str">
        <x:v>[펌]소설 작법</x:v>
      </x:c>
      <x:c r="F775" s="112" t="str">
        <x:v>웹소작법</x:v>
      </x:c>
      <x:c r="G775" s="112" t="str">
        <x:v>웹소설 직접</x:v>
      </x:c>
      <x:c r="H775" s="112" t="str">
        <x:v>작법·상업성</x:v>
      </x:c>
      <x:c r="I775" s="112" t="n">
        <x:v>25</x:v>
      </x:c>
      <x:c r="J775" s="112" t="str">
        <x:v>작법, 글쓰기, 묘사, 설정</x:v>
      </x:c>
      <x:c r="K775" s="112" t="str">
        <x:v>재게시</x:v>
      </x:c>
      <x:c r="L775" s="112" t="str">
        <x:v>높음</x:v>
      </x:c>
      <x:c r="M775" s="112" t="str">
        <x:v>제목의 펌/퍼옴 표시</x:v>
      </x:c>
      <x:c r="N775" s="116" t="str">
        <x:v>https://namu.wiki/w/%EC%86%8C%EC%84%A4%EC%9E%91%EB%B2%95</x:v>
      </x:c>
      <x:c r="O775" s="116" t="str">
        <x:v>https://m.blog.naver.com/sntu2010/221389064538</x:v>
      </x:c>
      <x:c r="P775" s="112" t="str">
        <x:v>예</x:v>
      </x:c>
      <x:c r="Q775" s="113" t="str">
        <x:v>자동 분류·표본 검토 대상</x:v>
      </x:c>
    </x:row>
    <x:row r="776">
      <x:c r="A776" s="100" t="n">
        <x:v>775</x:v>
      </x:c>
      <x:c r="B776" s="101" t="n">
        <x:v>43403</x:v>
      </x:c>
      <x:c r="C776" s="102" t="n">
        <x:v>2018</x:v>
      </x:c>
      <x:c r="D776" s="103" t="str">
        <x:v>ID-221388091654</x:v>
      </x:c>
      <x:c r="E776" s="112" t="str">
        <x:v>웹소설 쓸 때 도움되는 사이트</x:v>
      </x:c>
      <x:c r="F776" s="112" t="str">
        <x:v>웹소생각</x:v>
      </x:c>
      <x:c r="G776" s="112" t="str">
        <x:v>웹소설 직접</x:v>
      </x:c>
      <x:c r="H776" s="112" t="str">
        <x:v>플랫폼·투고·계약</x:v>
      </x:c>
      <x:c r="I776" s="112" t="n">
        <x:v>2</x:v>
      </x:c>
      <x:c r="J776" s="112" t="str">
        <x:v>플랫폼, 출판사</x:v>
      </x:c>
      <x:c r="K776" s="112" t="str">
        <x:v>본인 작성/의견 추정</x:v>
      </x:c>
      <x:c r="L776" s="112" t="str">
        <x:v>낮음</x:v>
      </x:c>
      <x:c r="M776" s="112" t="str">
        <x:v>재게시 표시는 없으나 저자성 직접 증거 부족</x:v>
      </x:c>
      <x:c r="N776" s="116" t="str">
        <x:v>http://speller.cs.pusan.ac.kr/)</x:v>
      </x:c>
      <x:c r="O776" s="116" t="str">
        <x:v>https://m.blog.naver.com/sntu2010/221388091654</x:v>
      </x:c>
      <x:c r="P776" s="112" t="str">
        <x:v>아니오</x:v>
      </x:c>
      <x:c r="Q776" s="113" t="str">
        <x:v>수동 검토 필요</x:v>
      </x:c>
    </x:row>
    <x:row r="777">
      <x:c r="A777" s="100" t="n">
        <x:v>776</x:v>
      </x:c>
      <x:c r="B777" s="101" t="n">
        <x:v>43403</x:v>
      </x:c>
      <x:c r="C777" s="102" t="n">
        <x:v>2018</x:v>
      </x:c>
      <x:c r="D777" s="103" t="str">
        <x:v>ID-221388039550</x:v>
      </x:c>
      <x:c r="E777" s="112" t="str">
        <x:v>[펌]새로운 직업 웹소설 작가</x:v>
      </x:c>
      <x:c r="F777" s="112" t="str">
        <x:v>웹소작법</x:v>
      </x:c>
      <x:c r="G777" s="112" t="str">
        <x:v>웹소설 직접</x:v>
      </x:c>
      <x:c r="H777" s="112" t="str">
        <x:v>작법·상업성</x:v>
      </x:c>
      <x:c r="I777" s="112" t="n">
        <x:v>1</x:v>
      </x:c>
      <x:c r="J777" s="112" t="str">
        <x:v>작법</x:v>
      </x:c>
      <x:c r="K777" s="112" t="str">
        <x:v>재게시</x:v>
      </x:c>
      <x:c r="L777" s="112" t="str">
        <x:v>높음</x:v>
      </x:c>
      <x:c r="M777" s="112" t="str">
        <x:v>제목의 펌/퍼옴 표시</x:v>
      </x:c>
      <x:c r="N777" s="116" t="str"/>
      <x:c r="O777" s="116" t="str">
        <x:v>https://m.blog.naver.com/sntu2010/221388039550</x:v>
      </x:c>
      <x:c r="P777" s="112" t="str">
        <x:v>아니오</x:v>
      </x:c>
      <x:c r="Q777" s="113" t="str">
        <x:v>자동 분류·표본 검토 대상</x:v>
      </x:c>
    </x:row>
    <x:row r="778">
      <x:c r="A778" s="100" t="n">
        <x:v>777</x:v>
      </x:c>
      <x:c r="B778" s="101" t="n">
        <x:v>43403</x:v>
      </x:c>
      <x:c r="C778" s="102" t="n">
        <x:v>2018</x:v>
      </x:c>
      <x:c r="D778" s="103" t="str">
        <x:v>ID-221388036262</x:v>
      </x:c>
      <x:c r="E778" s="112" t="str">
        <x:v>[펌]웹소설 작가의 단점을 모두 공개한다</x:v>
      </x:c>
      <x:c r="F778" s="112" t="str">
        <x:v>웹소작법</x:v>
      </x:c>
      <x:c r="G778" s="112" t="str">
        <x:v>웹소설 직접</x:v>
      </x:c>
      <x:c r="H778" s="112" t="str">
        <x:v>작법·상업성</x:v>
      </x:c>
      <x:c r="I778" s="112" t="n">
        <x:v>1</x:v>
      </x:c>
      <x:c r="J778" s="112" t="str">
        <x:v>작법</x:v>
      </x:c>
      <x:c r="K778" s="112" t="str">
        <x:v>재게시</x:v>
      </x:c>
      <x:c r="L778" s="112" t="str">
        <x:v>높음</x:v>
      </x:c>
      <x:c r="M778" s="112" t="str">
        <x:v>제목의 펌/퍼옴 표시</x:v>
      </x:c>
      <x:c r="N778" s="116" t="str"/>
      <x:c r="O778" s="116" t="str">
        <x:v>https://m.blog.naver.com/sntu2010/221388036262</x:v>
      </x:c>
      <x:c r="P778" s="112" t="str">
        <x:v>아니오</x:v>
      </x:c>
      <x:c r="Q778" s="113" t="str">
        <x:v>자동 분류·표본 검토 대상</x:v>
      </x:c>
    </x:row>
    <x:row r="779">
      <x:c r="A779" s="100" t="n">
        <x:v>778</x:v>
      </x:c>
      <x:c r="B779" s="101" t="n">
        <x:v>43403</x:v>
      </x:c>
      <x:c r="C779" s="102" t="n">
        <x:v>2018</x:v>
      </x:c>
      <x:c r="D779" s="103" t="str">
        <x:v>ID-221388019032</x:v>
      </x:c>
      <x:c r="E779" s="112" t="str">
        <x:v>[펌]혼자서 그림그리기 배울때 유용한 사이트 모음</x:v>
      </x:c>
      <x:c r="F779" s="112" t="str">
        <x:v>웹툰작법</x:v>
      </x:c>
      <x:c r="G779" s="112" t="str">
        <x:v>웹툰 참고</x:v>
      </x:c>
      <x:c r="H779" s="112" t="str">
        <x:v>작법·상업성</x:v>
      </x:c>
      <x:c r="I779" s="112" t="n">
        <x:v>2</x:v>
      </x:c>
      <x:c r="J779" s="112" t="str">
        <x:v>재미, 작법</x:v>
      </x:c>
      <x:c r="K779" s="112" t="str">
        <x:v>재게시</x:v>
      </x:c>
      <x:c r="L779" s="112" t="str">
        <x:v>높음</x:v>
      </x:c>
      <x:c r="M779" s="112" t="str">
        <x:v>제목의 펌/퍼옴 표시</x:v>
      </x:c>
      <x:c r="N779" s="116" t="str">
        <x:v>http://bbs.ruliweb.com/family/212/board/300066/read/13283357?</x:v>
      </x:c>
      <x:c r="O779" s="116" t="str">
        <x:v>https://m.blog.naver.com/sntu2010/221388019032</x:v>
      </x:c>
      <x:c r="P779" s="112" t="str">
        <x:v>아니오</x:v>
      </x:c>
      <x:c r="Q779" s="113" t="str">
        <x:v>자동 분류·표본 검토 대상</x:v>
      </x:c>
    </x:row>
    <x:row r="780">
      <x:c r="A780" s="100" t="n">
        <x:v>779</x:v>
      </x:c>
      <x:c r="B780" s="101" t="n">
        <x:v>43402</x:v>
      </x:c>
      <x:c r="C780" s="102" t="n">
        <x:v>2018</x:v>
      </x:c>
      <x:c r="D780" s="103" t="str">
        <x:v>ID-221387699828</x:v>
      </x:c>
      <x:c r="E780" s="112" t="str">
        <x:v>[펌]소설 쓸때 팁 아닌 팁</x:v>
      </x:c>
      <x:c r="F780" s="112" t="str">
        <x:v>웹소작법</x:v>
      </x:c>
      <x:c r="G780" s="112" t="str">
        <x:v>웹소설 직접</x:v>
      </x:c>
      <x:c r="H780" s="112" t="str">
        <x:v>작법·상업성</x:v>
      </x:c>
      <x:c r="I780" s="112" t="n">
        <x:v>2</x:v>
      </x:c>
      <x:c r="J780" s="112" t="str">
        <x:v>독자, 작법</x:v>
      </x:c>
      <x:c r="K780" s="112" t="str">
        <x:v>재게시</x:v>
      </x:c>
      <x:c r="L780" s="112" t="str">
        <x:v>높음</x:v>
      </x:c>
      <x:c r="M780" s="112" t="str">
        <x:v>제목의 펌/퍼옴 표시</x:v>
      </x:c>
      <x:c r="N780" s="116" t="str">
        <x:v>http://www.etoland.co.kr/bbs/board.php?bo_table=book&amp;wr_id=283954</x:v>
      </x:c>
      <x:c r="O780" s="116" t="str">
        <x:v>https://m.blog.naver.com/sntu2010/221387699828</x:v>
      </x:c>
      <x:c r="P780" s="112" t="str">
        <x:v>아니오</x:v>
      </x:c>
      <x:c r="Q780" s="113" t="str">
        <x:v>자동 분류·표본 검토 대상</x:v>
      </x:c>
    </x:row>
    <x:row r="781">
      <x:c r="A781" s="100" t="n">
        <x:v>780</x:v>
      </x:c>
      <x:c r="B781" s="101" t="n">
        <x:v>43402</x:v>
      </x:c>
      <x:c r="C781" s="102" t="n">
        <x:v>2018</x:v>
      </x:c>
      <x:c r="D781" s="103" t="str">
        <x:v>ID-221387697352</x:v>
      </x:c>
      <x:c r="E781" s="112" t="str">
        <x:v>[펌]무려 억!대! 수입을 올리는 웹소설 TOP.55!</x:v>
      </x:c>
      <x:c r="F781" s="112" t="str">
        <x:v>웹소작법</x:v>
      </x:c>
      <x:c r="G781" s="112" t="str">
        <x:v>웹소설 직접</x:v>
      </x:c>
      <x:c r="H781" s="112" t="str">
        <x:v>수익·운영</x:v>
      </x:c>
      <x:c r="I781" s="112" t="n">
        <x:v>23</x:v>
      </x:c>
      <x:c r="J781" s="112" t="str">
        <x:v>수입, 매출</x:v>
      </x:c>
      <x:c r="K781" s="112" t="str">
        <x:v>재게시</x:v>
      </x:c>
      <x:c r="L781" s="112" t="str">
        <x:v>높음</x:v>
      </x:c>
      <x:c r="M781" s="112" t="str">
        <x:v>제목의 펌/퍼옴 표시</x:v>
      </x:c>
      <x:c r="N781" s="116" t="str">
        <x:v>https://steemit.com/kr-book/@hellocrypto/top55웹소설</x:v>
      </x:c>
      <x:c r="O781" s="116" t="str">
        <x:v>https://m.blog.naver.com/sntu2010/221387697352</x:v>
      </x:c>
      <x:c r="P781" s="112" t="str">
        <x:v>예</x:v>
      </x:c>
      <x:c r="Q781" s="113" t="str">
        <x:v>자동 분류·표본 검토 대상</x:v>
      </x:c>
    </x:row>
    <x:row r="782">
      <x:c r="A782" s="100" t="n">
        <x:v>781</x:v>
      </x:c>
      <x:c r="B782" s="101" t="n">
        <x:v>43402</x:v>
      </x:c>
      <x:c r="C782" s="102" t="n">
        <x:v>2018</x:v>
      </x:c>
      <x:c r="D782" s="103" t="str">
        <x:v>ID-221387696509</x:v>
      </x:c>
      <x:c r="E782" s="112" t="str">
        <x:v>[펌]문피아 역대 수입 TOP.100 정리!</x:v>
      </x:c>
      <x:c r="F782" s="112" t="str">
        <x:v>웹소작법</x:v>
      </x:c>
      <x:c r="G782" s="112" t="str">
        <x:v>웹소설 직접</x:v>
      </x:c>
      <x:c r="H782" s="112" t="str">
        <x:v>수익·운영</x:v>
      </x:c>
      <x:c r="I782" s="112" t="n">
        <x:v>25</x:v>
      </x:c>
      <x:c r="J782" s="112" t="str">
        <x:v>수입, 수익, 매출</x:v>
      </x:c>
      <x:c r="K782" s="112" t="str">
        <x:v>재게시</x:v>
      </x:c>
      <x:c r="L782" s="112" t="str">
        <x:v>높음</x:v>
      </x:c>
      <x:c r="M782" s="112" t="str">
        <x:v>제목의 펌/퍼옴 표시</x:v>
      </x:c>
      <x:c r="N782" s="116" t="str">
        <x:v>http://www.etoland.co.kr/bbs/board.php?bo_table=book&amp;wr_id=188592</x:v>
      </x:c>
      <x:c r="O782" s="116" t="str">
        <x:v>https://m.blog.naver.com/sntu2010/221387696509</x:v>
      </x:c>
      <x:c r="P782" s="112" t="str">
        <x:v>예</x:v>
      </x:c>
      <x:c r="Q782" s="113" t="str">
        <x:v>자동 분류·표본 검토 대상</x:v>
      </x:c>
    </x:row>
    <x:row r="783">
      <x:c r="A783" s="100" t="n">
        <x:v>782</x:v>
      </x:c>
      <x:c r="B783" s="101" t="n">
        <x:v>43402</x:v>
      </x:c>
      <x:c r="C783" s="102" t="n">
        <x:v>2018</x:v>
      </x:c>
      <x:c r="D783" s="103" t="str">
        <x:v>ID-221387694902</x:v>
      </x:c>
      <x:c r="E783" s="112" t="str">
        <x:v>[펌]문피아 억대(!) 수입 35작 공개 - 2017년</x:v>
      </x:c>
      <x:c r="F783" s="112" t="str">
        <x:v>웹소작법</x:v>
      </x:c>
      <x:c r="G783" s="112" t="str">
        <x:v>웹소설 직접</x:v>
      </x:c>
      <x:c r="H783" s="112" t="str">
        <x:v>수익·운영</x:v>
      </x:c>
      <x:c r="I783" s="112" t="n">
        <x:v>27</x:v>
      </x:c>
      <x:c r="J783" s="112" t="str">
        <x:v>수입, 전업</x:v>
      </x:c>
      <x:c r="K783" s="112" t="str">
        <x:v>재게시</x:v>
      </x:c>
      <x:c r="L783" s="112" t="str">
        <x:v>높음</x:v>
      </x:c>
      <x:c r="M783" s="112" t="str">
        <x:v>제목의 펌/퍼옴 표시</x:v>
      </x:c>
      <x:c r="N783" s="116" t="str">
        <x:v>http://www.etoland.co.kr/bbs/board.php?bo_table=book&amp;wr_id=187063&amp;sca=&amp;sfl=mb_id%2C1&amp;stx=csiadreamer</x:v>
      </x:c>
      <x:c r="O783" s="116" t="str">
        <x:v>https://m.blog.naver.com/sntu2010/221387694902</x:v>
      </x:c>
      <x:c r="P783" s="112" t="str">
        <x:v>예</x:v>
      </x:c>
      <x:c r="Q783" s="113" t="str">
        <x:v>자동 분류·표본 검토 대상</x:v>
      </x:c>
    </x:row>
    <x:row r="784">
      <x:c r="A784" s="100" t="n">
        <x:v>783</x:v>
      </x:c>
      <x:c r="B784" s="101" t="n">
        <x:v>43402</x:v>
      </x:c>
      <x:c r="C784" s="102" t="n">
        <x:v>2018</x:v>
      </x:c>
      <x:c r="D784" s="103" t="str">
        <x:v>ID-221387663944</x:v>
      </x:c>
      <x:c r="E784" s="112" t="str">
        <x:v>[펌]한국은 지금 웹소설 전성시대</x:v>
      </x:c>
      <x:c r="F784" s="112" t="str">
        <x:v>웹소작법</x:v>
      </x:c>
      <x:c r="G784" s="112" t="str">
        <x:v>웹소설 직접</x:v>
      </x:c>
      <x:c r="H784" s="112" t="str">
        <x:v>작법·상업성</x:v>
      </x:c>
      <x:c r="I784" s="112" t="n">
        <x:v>1</x:v>
      </x:c>
      <x:c r="J784" s="112" t="str">
        <x:v>작법</x:v>
      </x:c>
      <x:c r="K784" s="112" t="str">
        <x:v>재게시</x:v>
      </x:c>
      <x:c r="L784" s="112" t="str">
        <x:v>높음</x:v>
      </x:c>
      <x:c r="M784" s="112" t="str">
        <x:v>제목의 펌/퍼옴 표시</x:v>
      </x:c>
      <x:c r="N784" s="116" t="str"/>
      <x:c r="O784" s="116" t="str">
        <x:v>https://m.blog.naver.com/sntu2010/221387663944</x:v>
      </x:c>
      <x:c r="P784" s="112" t="str">
        <x:v>아니오</x:v>
      </x:c>
      <x:c r="Q784" s="113" t="str">
        <x:v>자동 분류·표본 검토 대상</x:v>
      </x:c>
    </x:row>
    <x:row r="785">
      <x:c r="A785" s="100" t="n">
        <x:v>784</x:v>
      </x:c>
      <x:c r="B785" s="101" t="n">
        <x:v>43402</x:v>
      </x:c>
      <x:c r="C785" s="102" t="n">
        <x:v>2018</x:v>
      </x:c>
      <x:c r="D785" s="103" t="str">
        <x:v>ID-221387506785</x:v>
      </x:c>
      <x:c r="E785" s="112" t="str">
        <x:v>[펌]웹소설 연재 포인트 - 떡밥</x:v>
      </x:c>
      <x:c r="F785" s="112" t="str">
        <x:v>웹소작법</x:v>
      </x:c>
      <x:c r="G785" s="112" t="str">
        <x:v>웹소설 직접</x:v>
      </x:c>
      <x:c r="H785" s="112" t="str">
        <x:v>캐릭터·전개</x:v>
      </x:c>
      <x:c r="I785" s="112" t="n">
        <x:v>8</x:v>
      </x:c>
      <x:c r="J785" s="112" t="str">
        <x:v>플롯, 주인공, 사건, 인물</x:v>
      </x:c>
      <x:c r="K785" s="112" t="str">
        <x:v>재게시</x:v>
      </x:c>
      <x:c r="L785" s="112" t="str">
        <x:v>높음</x:v>
      </x:c>
      <x:c r="M785" s="112" t="str">
        <x:v>제목의 펌/퍼옴 표시</x:v>
      </x:c>
      <x:c r="N785" s="116" t="str">
        <x:v>http://gall.dcinside.com/mgallery/board/view/?id=tgijjdd&amp;no=52885&amp;exception_mode=recommend&amp;page=1</x:v>
      </x:c>
      <x:c r="O785" s="116" t="str">
        <x:v>https://m.blog.naver.com/sntu2010/221387506785</x:v>
      </x:c>
      <x:c r="P785" s="112" t="str">
        <x:v>예</x:v>
      </x:c>
      <x:c r="Q785" s="113" t="str">
        <x:v>자동 분류·표본 검토 대상</x:v>
      </x:c>
    </x:row>
    <x:row r="786">
      <x:c r="A786" s="100" t="n">
        <x:v>785</x:v>
      </x:c>
      <x:c r="B786" s="101" t="n">
        <x:v>43402</x:v>
      </x:c>
      <x:c r="C786" s="102" t="n">
        <x:v>2018</x:v>
      </x:c>
      <x:c r="D786" s="103" t="str">
        <x:v>ID-221387438316</x:v>
      </x:c>
      <x:c r="E786" s="112" t="str">
        <x:v>[펌]웹소설 연재 포인트(1)</x:v>
      </x:c>
      <x:c r="F786" s="112" t="str">
        <x:v>웹소작법</x:v>
      </x:c>
      <x:c r="G786" s="112" t="str">
        <x:v>웹소설 직접</x:v>
      </x:c>
      <x:c r="H786" s="112" t="str">
        <x:v>캐릭터·전개</x:v>
      </x:c>
      <x:c r="I786" s="112" t="n">
        <x:v>8</x:v>
      </x:c>
      <x:c r="J786" s="112" t="str">
        <x:v>전개, 주인공, 대사, 캐릭터</x:v>
      </x:c>
      <x:c r="K786" s="112" t="str">
        <x:v>재게시</x:v>
      </x:c>
      <x:c r="L786" s="112" t="str">
        <x:v>높음</x:v>
      </x:c>
      <x:c r="M786" s="112" t="str">
        <x:v>제목의 펌/퍼옴 표시</x:v>
      </x:c>
      <x:c r="N786" s="116" t="str">
        <x:v>http://gall.dcinside.com/mgallery/board/view/?id=tgijjdd&amp;no=51515&amp;exception_mode=recommend&amp;page=1</x:v>
      </x:c>
      <x:c r="O786" s="116" t="str">
        <x:v>https://m.blog.naver.com/sntu2010/221387438316</x:v>
      </x:c>
      <x:c r="P786" s="112" t="str">
        <x:v>예</x:v>
      </x:c>
      <x:c r="Q786" s="113" t="str">
        <x:v>자동 분류·표본 검토 대상</x:v>
      </x:c>
    </x:row>
    <x:row r="787">
      <x:c r="A787" s="100" t="n">
        <x:v>786</x:v>
      </x:c>
      <x:c r="B787" s="101" t="n">
        <x:v>43402</x:v>
      </x:c>
      <x:c r="C787" s="102" t="n">
        <x:v>2018</x:v>
      </x:c>
      <x:c r="D787" s="103" t="str">
        <x:v>ID-221387431605</x:v>
      </x:c>
      <x:c r="E787" s="112" t="str">
        <x:v>[펌]초보 작가를 위한 플랫폼 선정 TIP</x:v>
      </x:c>
      <x:c r="F787" s="112" t="str">
        <x:v>웹소작법</x:v>
      </x:c>
      <x:c r="G787" s="112" t="str">
        <x:v>웹소설 직접</x:v>
      </x:c>
      <x:c r="H787" s="112" t="str">
        <x:v>플랫폼·투고·계약</x:v>
      </x:c>
      <x:c r="I787" s="112" t="n">
        <x:v>28</x:v>
      </x:c>
      <x:c r="J787" s="112" t="str">
        <x:v>플랫폼, 조아라, 문피아, 네이버, 매니지</x:v>
      </x:c>
      <x:c r="K787" s="112" t="str">
        <x:v>재게시</x:v>
      </x:c>
      <x:c r="L787" s="112" t="str">
        <x:v>높음</x:v>
      </x:c>
      <x:c r="M787" s="112" t="str">
        <x:v>제목의 펌/퍼옴 표시</x:v>
      </x:c>
      <x:c r="N787" s="116" t="str">
        <x:v>http://gall.dcinside.com/mgallery/board/view/?id=tgijjdd&amp;no=52749&amp;exception_mode=recommend&amp;page=1</x:v>
      </x:c>
      <x:c r="O787" s="116" t="str">
        <x:v>https://m.blog.naver.com/sntu2010/221387431605</x:v>
      </x:c>
      <x:c r="P787" s="112" t="str">
        <x:v>예</x:v>
      </x:c>
      <x:c r="Q787" s="113" t="str">
        <x:v>자동 분류·표본 검토 대상</x:v>
      </x:c>
    </x:row>
    <x:row r="788">
      <x:c r="A788" s="100" t="n">
        <x:v>787</x:v>
      </x:c>
      <x:c r="B788" s="101" t="n">
        <x:v>43391</x:v>
      </x:c>
      <x:c r="C788" s="102" t="n">
        <x:v>2018</x:v>
      </x:c>
      <x:c r="D788" s="103" t="str">
        <x:v>ID-221380085099</x:v>
      </x:c>
      <x:c r="E788" s="112" t="str">
        <x:v>웹소설 연재에 대한 궁금증 해소(10편)</x:v>
      </x:c>
      <x:c r="F788" s="112" t="str">
        <x:v>웹소생각</x:v>
      </x:c>
      <x:c r="G788" s="112" t="str">
        <x:v>웹소설 직접</x:v>
      </x:c>
      <x:c r="H788" s="112" t="str">
        <x:v>수익·운영</x:v>
      </x:c>
      <x:c r="I788" s="112" t="n">
        <x:v>8</x:v>
      </x:c>
      <x:c r="J788" s="112" t="str">
        <x:v>세금, 정산, 수입, 전업</x:v>
      </x:c>
      <x:c r="K788" s="112" t="str">
        <x:v>본인 경험담 추정</x:v>
      </x:c>
      <x:c r="L788" s="112" t="str">
        <x:v>중간</x:v>
      </x:c>
      <x:c r="M788" s="112" t="str">
        <x:v>1인칭 경험·작품·계약 표현</x:v>
      </x:c>
      <x:c r="N788" s="116" t="str"/>
      <x:c r="O788" s="116" t="str">
        <x:v>https://m.blog.naver.com/sntu2010/221380085099</x:v>
      </x:c>
      <x:c r="P788" s="112" t="str">
        <x:v>예</x:v>
      </x:c>
      <x:c r="Q788" s="113" t="str">
        <x:v>자동 분류·표본 검토 대상</x:v>
      </x:c>
    </x:row>
    <x:row r="789">
      <x:c r="A789" s="100" t="n">
        <x:v>788</x:v>
      </x:c>
      <x:c r="B789" s="101" t="n">
        <x:v>43378</x:v>
      </x:c>
      <x:c r="C789" s="102" t="n">
        <x:v>2018</x:v>
      </x:c>
      <x:c r="D789" s="103" t="str">
        <x:v>ID-221371675247</x:v>
      </x:c>
      <x:c r="E789" s="112" t="str">
        <x:v>웹소설 연재에 대한 궁금증 해소(9편)</x:v>
      </x:c>
      <x:c r="F789" s="112" t="str">
        <x:v>웹소생각</x:v>
      </x:c>
      <x:c r="G789" s="112" t="str">
        <x:v>웹소설 직접</x:v>
      </x:c>
      <x:c r="H789" s="112" t="str">
        <x:v>플랫폼·투고·계약</x:v>
      </x:c>
      <x:c r="I789" s="112" t="n">
        <x:v>8</x:v>
      </x:c>
      <x:c r="J789" s="112" t="str">
        <x:v>문피아, 조아라, 계약, 출판사</x:v>
      </x:c>
      <x:c r="K789" s="112" t="str">
        <x:v>본인 작성/의견 추정</x:v>
      </x:c>
      <x:c r="L789" s="112" t="str">
        <x:v>낮음</x:v>
      </x:c>
      <x:c r="M789" s="112" t="str">
        <x:v>재게시 표시는 없으나 저자성 직접 증거 부족</x:v>
      </x:c>
      <x:c r="N789" s="116" t="str"/>
      <x:c r="O789" s="116" t="str">
        <x:v>https://m.blog.naver.com/sntu2010/221371675247</x:v>
      </x:c>
      <x:c r="P789" s="112" t="str">
        <x:v>예</x:v>
      </x:c>
      <x:c r="Q789" s="113" t="str">
        <x:v>자동 분류·표본 검토 대상</x:v>
      </x:c>
    </x:row>
    <x:row r="790">
      <x:c r="A790" s="100" t="n">
        <x:v>789</x:v>
      </x:c>
      <x:c r="B790" s="101" t="n">
        <x:v>43374</x:v>
      </x:c>
      <x:c r="C790" s="102" t="n">
        <x:v>2018</x:v>
      </x:c>
      <x:c r="D790" s="103" t="str">
        <x:v>ID-221368669721</x:v>
      </x:c>
      <x:c r="E790" s="112" t="str">
        <x:v>[펌]여기 써진대로만 하면 당신도 만화가!</x:v>
      </x:c>
      <x:c r="F790" s="112" t="str">
        <x:v>웹툰작법</x:v>
      </x:c>
      <x:c r="G790" s="112" t="str">
        <x:v>웹툰 참고</x:v>
      </x:c>
      <x:c r="H790" s="112" t="str">
        <x:v>작법·상업성</x:v>
      </x:c>
      <x:c r="I790" s="112" t="n">
        <x:v>1</x:v>
      </x:c>
      <x:c r="J790" s="112" t="str">
        <x:v>작법</x:v>
      </x:c>
      <x:c r="K790" s="112" t="str">
        <x:v>재게시</x:v>
      </x:c>
      <x:c r="L790" s="112" t="str">
        <x:v>높음</x:v>
      </x:c>
      <x:c r="M790" s="112" t="str">
        <x:v>제목의 펌/퍼옴 표시</x:v>
      </x:c>
      <x:c r="N790" s="116" t="str">
        <x:v>http://www.joysf.com/4525204#3■</x:v>
      </x:c>
      <x:c r="O790" s="116" t="str">
        <x:v>https://m.blog.naver.com/sntu2010/221368669721</x:v>
      </x:c>
      <x:c r="P790" s="112" t="str">
        <x:v>아니오</x:v>
      </x:c>
      <x:c r="Q790" s="113" t="str">
        <x:v>자동 분류·표본 검토 대상</x:v>
      </x:c>
    </x:row>
    <x:row r="791">
      <x:c r="A791" s="100" t="n">
        <x:v>790</x:v>
      </x:c>
      <x:c r="B791" s="101" t="n">
        <x:v>43372</x:v>
      </x:c>
      <x:c r="C791" s="102" t="n">
        <x:v>2018</x:v>
      </x:c>
      <x:c r="D791" s="103" t="str">
        <x:v>ID-221368039897</x:v>
      </x:c>
      <x:c r="E791" s="112" t="str">
        <x:v>[펌]연재 플랫폼 규모별 순위 나열</x:v>
      </x:c>
      <x:c r="F791" s="112" t="str">
        <x:v>웹소작법</x:v>
      </x:c>
      <x:c r="G791" s="112" t="str">
        <x:v>웹소설 직접</x:v>
      </x:c>
      <x:c r="H791" s="112" t="str">
        <x:v>플랫폼·투고·계약</x:v>
      </x:c>
      <x:c r="I791" s="112" t="n">
        <x:v>25</x:v>
      </x:c>
      <x:c r="J791" s="112" t="str">
        <x:v>플랫폼, 네이버, 카카오</x:v>
      </x:c>
      <x:c r="K791" s="112" t="str">
        <x:v>재게시</x:v>
      </x:c>
      <x:c r="L791" s="112" t="str">
        <x:v>높음</x:v>
      </x:c>
      <x:c r="M791" s="112" t="str">
        <x:v>제목의 펌/퍼옴 표시</x:v>
      </x:c>
      <x:c r="N791" s="116" t="str">
        <x:v>https://cafe.naver.com/webnovelsky/14491</x:v>
      </x:c>
      <x:c r="O791" s="116" t="str">
        <x:v>https://m.blog.naver.com/sntu2010/221368039897</x:v>
      </x:c>
      <x:c r="P791" s="112" t="str">
        <x:v>예</x:v>
      </x:c>
      <x:c r="Q791" s="113" t="str">
        <x:v>자동 분류·표본 검토 대상</x:v>
      </x:c>
    </x:row>
    <x:row r="792">
      <x:c r="A792" s="100" t="n">
        <x:v>791</x:v>
      </x:c>
      <x:c r="B792" s="101" t="n">
        <x:v>43372</x:v>
      </x:c>
      <x:c r="C792" s="102" t="n">
        <x:v>2018</x:v>
      </x:c>
      <x:c r="D792" s="103" t="str">
        <x:v>ID-221368038876</x:v>
      </x:c>
      <x:c r="E792" s="112" t="str">
        <x:v>[펌]웹소설 작가들의 수입, 인세, 연봉에 대해서 알려준다</x:v>
      </x:c>
      <x:c r="F792" s="112" t="str">
        <x:v>웹소작법</x:v>
      </x:c>
      <x:c r="G792" s="112" t="str">
        <x:v>웹소설 직접</x:v>
      </x:c>
      <x:c r="H792" s="112" t="str">
        <x:v>수익·운영</x:v>
      </x:c>
      <x:c r="I792" s="112" t="n">
        <x:v>42</x:v>
      </x:c>
      <x:c r="J792" s="112" t="str">
        <x:v>수입, 인세, 매출</x:v>
      </x:c>
      <x:c r="K792" s="112" t="str">
        <x:v>재게시</x:v>
      </x:c>
      <x:c r="L792" s="112" t="str">
        <x:v>높음</x:v>
      </x:c>
      <x:c r="M792" s="112" t="str">
        <x:v>제목의 펌/퍼옴 표시</x:v>
      </x:c>
      <x:c r="N792" s="116" t="str">
        <x:v>http://gall.dcinside.com/board/view/?id=web_fic&amp;no=9793</x:v>
      </x:c>
      <x:c r="O792" s="116" t="str">
        <x:v>https://m.blog.naver.com/sntu2010/221368038876</x:v>
      </x:c>
      <x:c r="P792" s="112" t="str">
        <x:v>예</x:v>
      </x:c>
      <x:c r="Q792" s="113" t="str">
        <x:v>자동 분류·표본 검토 대상</x:v>
      </x:c>
    </x:row>
    <x:row r="793">
      <x:c r="A793" s="100" t="n">
        <x:v>792</x:v>
      </x:c>
      <x:c r="B793" s="101" t="n">
        <x:v>43372</x:v>
      </x:c>
      <x:c r="C793" s="102" t="n">
        <x:v>2018</x:v>
      </x:c>
      <x:c r="D793" s="103" t="str">
        <x:v>ID-221368036843</x:v>
      </x:c>
      <x:c r="E793" s="112" t="str">
        <x:v>[펌]장르 문학에서 대리 만족이라는게 엄청 중요한데 작가들이 잘 모름</x:v>
      </x:c>
      <x:c r="F793" s="112" t="str">
        <x:v>웹소작법</x:v>
      </x:c>
      <x:c r="G793" s="112" t="str">
        <x:v>웹소설 직접</x:v>
      </x:c>
      <x:c r="H793" s="112" t="str">
        <x:v>작법·상업성</x:v>
      </x:c>
      <x:c r="I793" s="112" t="n">
        <x:v>25</x:v>
      </x:c>
      <x:c r="J793" s="112" t="str">
        <x:v>장르, 대리만족, 독자, 작법</x:v>
      </x:c>
      <x:c r="K793" s="112" t="str">
        <x:v>재게시</x:v>
      </x:c>
      <x:c r="L793" s="112" t="str">
        <x:v>높음</x:v>
      </x:c>
      <x:c r="M793" s="112" t="str">
        <x:v>제목의 펌/퍼옴 표시</x:v>
      </x:c>
      <x:c r="N793" s="116" t="str">
        <x:v>http://www.etoland.co.kr/bbs/board.php?bo_table=book&amp;wr_id=271177</x:v>
      </x:c>
      <x:c r="O793" s="116" t="str">
        <x:v>https://m.blog.naver.com/sntu2010/221368036843</x:v>
      </x:c>
      <x:c r="P793" s="112" t="str">
        <x:v>예</x:v>
      </x:c>
      <x:c r="Q793" s="113" t="str">
        <x:v>자동 분류·표본 검토 대상</x:v>
      </x:c>
    </x:row>
    <x:row r="794">
      <x:c r="A794" s="100" t="n">
        <x:v>793</x:v>
      </x:c>
      <x:c r="B794" s="101" t="n">
        <x:v>43372</x:v>
      </x:c>
      <x:c r="C794" s="102" t="n">
        <x:v>2018</x:v>
      </x:c>
      <x:c r="D794" s="103" t="str">
        <x:v>ID-221368036152</x:v>
      </x:c>
      <x:c r="E794" s="112" t="str">
        <x:v>[펌]안 팔리는 작가로서 현재 웹소설판을 말씀드리겠습니다</x:v>
      </x:c>
      <x:c r="F794" s="112" t="str">
        <x:v>웹소작법</x:v>
      </x:c>
      <x:c r="G794" s="112" t="str">
        <x:v>웹소설 직접</x:v>
      </x:c>
      <x:c r="H794" s="112" t="str">
        <x:v>플랫폼·투고·계약</x:v>
      </x:c>
      <x:c r="I794" s="112" t="n">
        <x:v>3</x:v>
      </x:c>
      <x:c r="J794" s="112" t="str">
        <x:v>문피아, 매니지, 계약</x:v>
      </x:c>
      <x:c r="K794" s="112" t="str">
        <x:v>재게시</x:v>
      </x:c>
      <x:c r="L794" s="112" t="str">
        <x:v>높음</x:v>
      </x:c>
      <x:c r="M794" s="112" t="str">
        <x:v>제목의 펌/퍼옴 표시</x:v>
      </x:c>
      <x:c r="N794" s="116" t="str">
        <x:v>http://www.etoland.co.kr/bbs/board.php?bo_table=book&amp;wr_id=274544</x:v>
      </x:c>
      <x:c r="O794" s="116" t="str">
        <x:v>https://m.blog.naver.com/sntu2010/221368036152</x:v>
      </x:c>
      <x:c r="P794" s="112" t="str">
        <x:v>아니오</x:v>
      </x:c>
      <x:c r="Q794" s="113" t="str">
        <x:v>자동 분류·표본 검토 대상</x:v>
      </x:c>
    </x:row>
    <x:row r="795">
      <x:c r="A795" s="100" t="n">
        <x:v>794</x:v>
      </x:c>
      <x:c r="B795" s="101" t="n">
        <x:v>43370</x:v>
      </x:c>
      <x:c r="C795" s="102" t="n">
        <x:v>2018</x:v>
      </x:c>
      <x:c r="D795" s="103" t="str">
        <x:v>ID-221366778324</x:v>
      </x:c>
      <x:c r="E795" s="112" t="str">
        <x:v>[펌]글 쓸 때 힘줄 필요 하나도 없다</x:v>
      </x:c>
      <x:c r="F795" s="112" t="str">
        <x:v>웹소작법</x:v>
      </x:c>
      <x:c r="G795" s="112" t="str">
        <x:v>웹소설 직접</x:v>
      </x:c>
      <x:c r="H795" s="112" t="str">
        <x:v>작법·상업성</x:v>
      </x:c>
      <x:c r="I795" s="112" t="n">
        <x:v>5</x:v>
      </x:c>
      <x:c r="J795" s="112" t="str">
        <x:v>문장, 묘사, 작법</x:v>
      </x:c>
      <x:c r="K795" s="112" t="str">
        <x:v>재게시</x:v>
      </x:c>
      <x:c r="L795" s="112" t="str">
        <x:v>높음</x:v>
      </x:c>
      <x:c r="M795" s="112" t="str">
        <x:v>제목의 펌/퍼옴 표시</x:v>
      </x:c>
      <x:c r="N795" s="116" t="str">
        <x:v>http://gall.dcinside.com/mgallery/board/view/?id=tgijjdd&amp;no=43441&amp;exception_mode=recommend&amp;page=1</x:v>
      </x:c>
      <x:c r="O795" s="116" t="str">
        <x:v>https://m.blog.naver.com/sntu2010/221366778324</x:v>
      </x:c>
      <x:c r="P795" s="112" t="str">
        <x:v>아니오</x:v>
      </x:c>
      <x:c r="Q795" s="113" t="str">
        <x:v>자동 분류·표본 검토 대상</x:v>
      </x:c>
    </x:row>
    <x:row r="796">
      <x:c r="A796" s="100" t="n">
        <x:v>795</x:v>
      </x:c>
      <x:c r="B796" s="101" t="n">
        <x:v>43367</x:v>
      </x:c>
      <x:c r="C796" s="102" t="n">
        <x:v>2018</x:v>
      </x:c>
      <x:c r="D796" s="103" t="str">
        <x:v>ID-221365100069</x:v>
      </x:c>
      <x:c r="E796" s="112" t="str">
        <x:v>[펌]작법서 50권 넘게 읽고 쓰는 플롯에 대한 생각</x:v>
      </x:c>
      <x:c r="F796" s="112" t="str">
        <x:v>웹소작법</x:v>
      </x:c>
      <x:c r="G796" s="112" t="str">
        <x:v>웹소설 직접</x:v>
      </x:c>
      <x:c r="H796" s="112" t="str">
        <x:v>캐릭터·전개</x:v>
      </x:c>
      <x:c r="I796" s="112" t="n">
        <x:v>23</x:v>
      </x:c>
      <x:c r="J796" s="112" t="str">
        <x:v>플롯, 캐릭터</x:v>
      </x:c>
      <x:c r="K796" s="112" t="str">
        <x:v>재게시</x:v>
      </x:c>
      <x:c r="L796" s="112" t="str">
        <x:v>높음</x:v>
      </x:c>
      <x:c r="M796" s="112" t="str">
        <x:v>제목의 펌/퍼옴 표시</x:v>
      </x:c>
      <x:c r="N796" s="116" t="str">
        <x:v>http://gall.dcinside.com/mgallery/board/view/?id=tgijjdd&amp;no=42487&amp;exception_mode=recommend&amp;page=1</x:v>
      </x:c>
      <x:c r="O796" s="116" t="str">
        <x:v>https://m.blog.naver.com/sntu2010/221365100069</x:v>
      </x:c>
      <x:c r="P796" s="112" t="str">
        <x:v>예</x:v>
      </x:c>
      <x:c r="Q796" s="113" t="str">
        <x:v>자동 분류·표본 검토 대상</x:v>
      </x:c>
    </x:row>
    <x:row r="797">
      <x:c r="A797" s="100" t="n">
        <x:v>796</x:v>
      </x:c>
      <x:c r="B797" s="101" t="n">
        <x:v>43360</x:v>
      </x:c>
      <x:c r="C797" s="102" t="n">
        <x:v>2018</x:v>
      </x:c>
      <x:c r="D797" s="103" t="str">
        <x:v>ID-221360723225</x:v>
      </x:c>
      <x:c r="E797" s="112" t="str">
        <x:v>[펌]나만의 공식을 찾아라</x:v>
      </x:c>
      <x:c r="F797" s="112" t="str">
        <x:v>웹소작법</x:v>
      </x:c>
      <x:c r="G797" s="112" t="str">
        <x:v>웹소설 직접</x:v>
      </x:c>
      <x:c r="H797" s="112" t="str">
        <x:v>초반부/연독률</x:v>
      </x:c>
      <x:c r="I797" s="112" t="n">
        <x:v>6</x:v>
      </x:c>
      <x:c r="J797" s="112" t="str">
        <x:v>1화, 2화, 초반, 5화</x:v>
      </x:c>
      <x:c r="K797" s="112" t="str">
        <x:v>재게시</x:v>
      </x:c>
      <x:c r="L797" s="112" t="str">
        <x:v>높음</x:v>
      </x:c>
      <x:c r="M797" s="112" t="str">
        <x:v>제목의 펌/퍼옴 표시</x:v>
      </x:c>
      <x:c r="N797" s="116" t="str">
        <x:v>http://gall.dcinside.com/mgallery/board/view/?id=tgijjdd&amp;no=40160&amp;exception_mode=recommend&amp;page=1</x:v>
      </x:c>
      <x:c r="O797" s="116" t="str">
        <x:v>https://m.blog.naver.com/sntu2010/221360723225</x:v>
      </x:c>
      <x:c r="P797" s="112" t="str">
        <x:v>예</x:v>
      </x:c>
      <x:c r="Q797" s="113" t="str">
        <x:v>자동 분류·표본 검토 대상</x:v>
      </x:c>
    </x:row>
    <x:row r="798">
      <x:c r="A798" s="100" t="n">
        <x:v>797</x:v>
      </x:c>
      <x:c r="B798" s="101" t="n">
        <x:v>43360</x:v>
      </x:c>
      <x:c r="C798" s="102" t="n">
        <x:v>2018</x:v>
      </x:c>
      <x:c r="D798" s="103" t="str">
        <x:v>ID-221360708530</x:v>
      </x:c>
      <x:c r="E798" s="112" t="str">
        <x:v>[펌]초보 작가들이 매번 실수하는 패턴 - 플롯 구성</x:v>
      </x:c>
      <x:c r="F798" s="112" t="str">
        <x:v>웹소작법</x:v>
      </x:c>
      <x:c r="G798" s="112" t="str">
        <x:v>웹소설 직접</x:v>
      </x:c>
      <x:c r="H798" s="112" t="str">
        <x:v>캐릭터·전개</x:v>
      </x:c>
      <x:c r="I798" s="112" t="n">
        <x:v>25</x:v>
      </x:c>
      <x:c r="J798" s="112" t="str">
        <x:v>플롯, 전개, 히로인</x:v>
      </x:c>
      <x:c r="K798" s="112" t="str">
        <x:v>재게시</x:v>
      </x:c>
      <x:c r="L798" s="112" t="str">
        <x:v>높음</x:v>
      </x:c>
      <x:c r="M798" s="112" t="str">
        <x:v>제목의 펌/퍼옴 표시</x:v>
      </x:c>
      <x:c r="N798" s="116" t="str">
        <x:v>http://gall.dcinside.com/mgallery/board/view/?id=tgijjdd&amp;no=39588&amp;exception_mode=recommend&amp;page=1</x:v>
      </x:c>
      <x:c r="O798" s="116" t="str">
        <x:v>https://m.blog.naver.com/sntu2010/221360708530</x:v>
      </x:c>
      <x:c r="P798" s="112" t="str">
        <x:v>예</x:v>
      </x:c>
      <x:c r="Q798" s="113" t="str">
        <x:v>자동 분류·표본 검토 대상</x:v>
      </x:c>
    </x:row>
    <x:row r="799">
      <x:c r="A799" s="100" t="n">
        <x:v>798</x:v>
      </x:c>
      <x:c r="B799" s="101" t="n">
        <x:v>43358</x:v>
      </x:c>
      <x:c r="C799" s="102" t="n">
        <x:v>2018</x:v>
      </x:c>
      <x:c r="D799" s="103" t="str">
        <x:v>ID-221359875627</x:v>
      </x:c>
      <x:c r="E799" s="112" t="str">
        <x:v>[공유] 야매 강좌05- 머리카락, 옷주름, 앵글</x:v>
      </x:c>
      <x:c r="F799" s="112" t="str">
        <x:v>웹툰작법</x:v>
      </x:c>
      <x:c r="G799" s="112" t="str">
        <x:v>웹툰 참고</x:v>
      </x:c>
      <x:c r="H799" s="112" t="str">
        <x:v>작법·상업성</x:v>
      </x:c>
      <x:c r="I799" s="112" t="n">
        <x:v>1</x:v>
      </x:c>
      <x:c r="J799" s="112" t="str">
        <x:v>작법</x:v>
      </x:c>
      <x:c r="K799" s="112" t="str">
        <x:v>본인 작성/의견 추정</x:v>
      </x:c>
      <x:c r="L799" s="112" t="str">
        <x:v>낮음</x:v>
      </x:c>
      <x:c r="M799" s="112" t="str">
        <x:v>재게시 표시는 없으나 저자성 직접 증거 부족</x:v>
      </x:c>
      <x:c r="N799" s="116" t="str"/>
      <x:c r="O799" s="116" t="str">
        <x:v>https://m.blog.naver.com/sntu2010/221359875627</x:v>
      </x:c>
      <x:c r="P799" s="112" t="str">
        <x:v>아니오</x:v>
      </x:c>
      <x:c r="Q799" s="113" t="str">
        <x:v>수동 검토 필요</x:v>
      </x:c>
    </x:row>
    <x:row r="800">
      <x:c r="A800" s="100" t="n">
        <x:v>799</x:v>
      </x:c>
      <x:c r="B800" s="101" t="n">
        <x:v>43358</x:v>
      </x:c>
      <x:c r="C800" s="102" t="n">
        <x:v>2018</x:v>
      </x:c>
      <x:c r="D800" s="103" t="str">
        <x:v>ID-221359875547</x:v>
      </x:c>
      <x:c r="E800" s="112" t="str">
        <x:v>[공유] 야매강좌 04- 얼굴 구도에 따른 눈코입 및 손 발</x:v>
      </x:c>
      <x:c r="F800" s="112" t="str">
        <x:v>웹툰작법</x:v>
      </x:c>
      <x:c r="G800" s="112" t="str">
        <x:v>웹툰 참고</x:v>
      </x:c>
      <x:c r="H800" s="112" t="str">
        <x:v>작법·상업성</x:v>
      </x:c>
      <x:c r="I800" s="112" t="n">
        <x:v>1</x:v>
      </x:c>
      <x:c r="J800" s="112" t="str">
        <x:v>작법</x:v>
      </x:c>
      <x:c r="K800" s="112" t="str">
        <x:v>본인 작성/의견 추정</x:v>
      </x:c>
      <x:c r="L800" s="112" t="str">
        <x:v>낮음</x:v>
      </x:c>
      <x:c r="M800" s="112" t="str">
        <x:v>재게시 표시는 없으나 저자성 직접 증거 부족</x:v>
      </x:c>
      <x:c r="N800" s="116" t="str"/>
      <x:c r="O800" s="116" t="str">
        <x:v>https://m.blog.naver.com/sntu2010/221359875547</x:v>
      </x:c>
      <x:c r="P800" s="112" t="str">
        <x:v>아니오</x:v>
      </x:c>
      <x:c r="Q800" s="113" t="str">
        <x:v>수동 검토 필요</x:v>
      </x:c>
    </x:row>
    <x:row r="801">
      <x:c r="A801" s="100" t="n">
        <x:v>800</x:v>
      </x:c>
      <x:c r="B801" s="101" t="n">
        <x:v>43358</x:v>
      </x:c>
      <x:c r="C801" s="102" t="n">
        <x:v>2018</x:v>
      </x:c>
      <x:c r="D801" s="103" t="str">
        <x:v>ID-221359875485</x:v>
      </x:c>
      <x:c r="E801" s="112" t="str">
        <x:v>[공유] 야매강좌 03- 인체 비율,길이</x:v>
      </x:c>
      <x:c r="F801" s="112" t="str">
        <x:v>웹툰작법</x:v>
      </x:c>
      <x:c r="G801" s="112" t="str">
        <x:v>웹툰 참고</x:v>
      </x:c>
      <x:c r="H801" s="112" t="str">
        <x:v>작법·상업성</x:v>
      </x:c>
      <x:c r="I801" s="112" t="n">
        <x:v>1</x:v>
      </x:c>
      <x:c r="J801" s="112" t="str">
        <x:v>작법</x:v>
      </x:c>
      <x:c r="K801" s="112" t="str">
        <x:v>본인 작성/의견 추정</x:v>
      </x:c>
      <x:c r="L801" s="112" t="str">
        <x:v>낮음</x:v>
      </x:c>
      <x:c r="M801" s="112" t="str">
        <x:v>재게시 표시는 없으나 저자성 직접 증거 부족</x:v>
      </x:c>
      <x:c r="N801" s="116" t="str"/>
      <x:c r="O801" s="116" t="str">
        <x:v>https://m.blog.naver.com/sntu2010/221359875485</x:v>
      </x:c>
      <x:c r="P801" s="112" t="str">
        <x:v>아니오</x:v>
      </x:c>
      <x:c r="Q801" s="113" t="str">
        <x:v>수동 검토 필요</x:v>
      </x:c>
    </x:row>
    <x:row r="802">
      <x:c r="A802" s="100" t="n">
        <x:v>801</x:v>
      </x:c>
      <x:c r="B802" s="101" t="n">
        <x:v>43358</x:v>
      </x:c>
      <x:c r="C802" s="102" t="n">
        <x:v>2018</x:v>
      </x:c>
      <x:c r="D802" s="103" t="str">
        <x:v>ID-221359875382</x:v>
      </x:c>
      <x:c r="E802" s="112" t="str">
        <x:v>[공유] 야매강좌01,02- 인체</x:v>
      </x:c>
      <x:c r="F802" s="112" t="str">
        <x:v>웹툰작법</x:v>
      </x:c>
      <x:c r="G802" s="112" t="str">
        <x:v>웹툰 참고</x:v>
      </x:c>
      <x:c r="H802" s="112" t="str">
        <x:v>작법·상업성</x:v>
      </x:c>
      <x:c r="I802" s="112" t="n">
        <x:v>1</x:v>
      </x:c>
      <x:c r="J802" s="112" t="str">
        <x:v>작법</x:v>
      </x:c>
      <x:c r="K802" s="112" t="str">
        <x:v>본인 작성/의견 추정</x:v>
      </x:c>
      <x:c r="L802" s="112" t="str">
        <x:v>낮음</x:v>
      </x:c>
      <x:c r="M802" s="112" t="str">
        <x:v>재게시 표시는 없으나 저자성 직접 증거 부족</x:v>
      </x:c>
      <x:c r="N802" s="116" t="str"/>
      <x:c r="O802" s="116" t="str">
        <x:v>https://m.blog.naver.com/sntu2010/221359875382</x:v>
      </x:c>
      <x:c r="P802" s="112" t="str">
        <x:v>아니오</x:v>
      </x:c>
      <x:c r="Q802" s="113" t="str">
        <x:v>수동 검토 필요</x:v>
      </x:c>
    </x:row>
    <x:row r="803">
      <x:c r="A803" s="100" t="n">
        <x:v>802</x:v>
      </x:c>
      <x:c r="B803" s="101" t="n">
        <x:v>43358</x:v>
      </x:c>
      <x:c r="C803" s="102" t="n">
        <x:v>2018</x:v>
      </x:c>
      <x:c r="D803" s="103" t="str">
        <x:v>ID-221359871138</x:v>
      </x:c>
      <x:c r="E803" s="112" t="str">
        <x:v>[공유] 디즈니 만화그리기 기초</x:v>
      </x:c>
      <x:c r="F803" s="112" t="str">
        <x:v>웹툰작법</x:v>
      </x:c>
      <x:c r="G803" s="112" t="str">
        <x:v>웹툰 참고</x:v>
      </x:c>
      <x:c r="H803" s="112" t="str">
        <x:v>작법·상업성</x:v>
      </x:c>
      <x:c r="I803" s="112" t="n">
        <x:v>1</x:v>
      </x:c>
      <x:c r="J803" s="112" t="str">
        <x:v>작법</x:v>
      </x:c>
      <x:c r="K803" s="112" t="str">
        <x:v>본인 작성/의견 추정</x:v>
      </x:c>
      <x:c r="L803" s="112" t="str">
        <x:v>낮음</x:v>
      </x:c>
      <x:c r="M803" s="112" t="str">
        <x:v>재게시 표시는 없으나 저자성 직접 증거 부족</x:v>
      </x:c>
      <x:c r="N803" s="116" t="str"/>
      <x:c r="O803" s="116" t="str">
        <x:v>https://m.blog.naver.com/sntu2010/221359871138</x:v>
      </x:c>
      <x:c r="P803" s="112" t="str">
        <x:v>아니오</x:v>
      </x:c>
      <x:c r="Q803" s="113" t="str">
        <x:v>수동 검토 필요</x:v>
      </x:c>
    </x:row>
    <x:row r="804">
      <x:c r="A804" s="100" t="n">
        <x:v>803</x:v>
      </x:c>
      <x:c r="B804" s="101" t="n">
        <x:v>43358</x:v>
      </x:c>
      <x:c r="C804" s="102" t="n">
        <x:v>2018</x:v>
      </x:c>
      <x:c r="D804" s="103" t="str">
        <x:v>ID-221359869560</x:v>
      </x:c>
      <x:c r="E804" s="112" t="str">
        <x:v>[공유] [高畑ゆき] 퍼스강좌 네번째 [만화가, 일러스트레이터, 애니메이터를 위한]</x:v>
      </x:c>
      <x:c r="F804" s="112" t="str">
        <x:v>웹툰작법</x:v>
      </x:c>
      <x:c r="G804" s="112" t="str">
        <x:v>웹툰 참고</x:v>
      </x:c>
      <x:c r="H804" s="112" t="str">
        <x:v>작법·상업성</x:v>
      </x:c>
      <x:c r="I804" s="112" t="n">
        <x:v>1</x:v>
      </x:c>
      <x:c r="J804" s="112" t="str">
        <x:v>작법</x:v>
      </x:c>
      <x:c r="K804" s="112" t="str">
        <x:v>본인 작성/의견 추정</x:v>
      </x:c>
      <x:c r="L804" s="112" t="str">
        <x:v>낮음</x:v>
      </x:c>
      <x:c r="M804" s="112" t="str">
        <x:v>재게시 표시는 없으나 저자성 직접 증거 부족</x:v>
      </x:c>
      <x:c r="N804" s="116" t="str"/>
      <x:c r="O804" s="116" t="str">
        <x:v>https://m.blog.naver.com/sntu2010/221359869560</x:v>
      </x:c>
      <x:c r="P804" s="112" t="str">
        <x:v>아니오</x:v>
      </x:c>
      <x:c r="Q804" s="113" t="str">
        <x:v>수동 검토 필요</x:v>
      </x:c>
    </x:row>
    <x:row r="805">
      <x:c r="A805" s="100" t="n">
        <x:v>804</x:v>
      </x:c>
      <x:c r="B805" s="101" t="n">
        <x:v>43358</x:v>
      </x:c>
      <x:c r="C805" s="102" t="n">
        <x:v>2018</x:v>
      </x:c>
      <x:c r="D805" s="103" t="str">
        <x:v>ID-221359869491</x:v>
      </x:c>
      <x:c r="E805" s="112" t="str">
        <x:v>[공유] [高畑ゆき] 퍼스강좌 세번째 [만화가, 일러스트레이터, 애니메이터를 위한]</x:v>
      </x:c>
      <x:c r="F805" s="112" t="str">
        <x:v>웹툰작법</x:v>
      </x:c>
      <x:c r="G805" s="112" t="str">
        <x:v>웹툰 참고</x:v>
      </x:c>
      <x:c r="H805" s="112" t="str">
        <x:v>작법·상업성</x:v>
      </x:c>
      <x:c r="I805" s="112" t="n">
        <x:v>1</x:v>
      </x:c>
      <x:c r="J805" s="112" t="str">
        <x:v>작법</x:v>
      </x:c>
      <x:c r="K805" s="112" t="str">
        <x:v>본인 작성/의견 추정</x:v>
      </x:c>
      <x:c r="L805" s="112" t="str">
        <x:v>낮음</x:v>
      </x:c>
      <x:c r="M805" s="112" t="str">
        <x:v>재게시 표시는 없으나 저자성 직접 증거 부족</x:v>
      </x:c>
      <x:c r="N805" s="116" t="str"/>
      <x:c r="O805" s="116" t="str">
        <x:v>https://m.blog.naver.com/sntu2010/221359869491</x:v>
      </x:c>
      <x:c r="P805" s="112" t="str">
        <x:v>아니오</x:v>
      </x:c>
      <x:c r="Q805" s="113" t="str">
        <x:v>수동 검토 필요</x:v>
      </x:c>
    </x:row>
    <x:row r="806">
      <x:c r="A806" s="100" t="n">
        <x:v>805</x:v>
      </x:c>
      <x:c r="B806" s="101" t="n">
        <x:v>43358</x:v>
      </x:c>
      <x:c r="C806" s="102" t="n">
        <x:v>2018</x:v>
      </x:c>
      <x:c r="D806" s="103" t="str">
        <x:v>ID-221359869439</x:v>
      </x:c>
      <x:c r="E806" s="112" t="str">
        <x:v>[공유] [高畑ゆき] 퍼스강좌 첫번째, 두번째 [만화가, 일러스트레이터, 애니메이터를 위한]</x:v>
      </x:c>
      <x:c r="F806" s="112" t="str">
        <x:v>웹툰작법</x:v>
      </x:c>
      <x:c r="G806" s="112" t="str">
        <x:v>웹툰 참고</x:v>
      </x:c>
      <x:c r="H806" s="112" t="str">
        <x:v>작법·상업성</x:v>
      </x:c>
      <x:c r="I806" s="112" t="n">
        <x:v>1</x:v>
      </x:c>
      <x:c r="J806" s="112" t="str">
        <x:v>작법</x:v>
      </x:c>
      <x:c r="K806" s="112" t="str">
        <x:v>본인 작성/의견 추정</x:v>
      </x:c>
      <x:c r="L806" s="112" t="str">
        <x:v>낮음</x:v>
      </x:c>
      <x:c r="M806" s="112" t="str">
        <x:v>재게시 표시는 없으나 저자성 직접 증거 부족</x:v>
      </x:c>
      <x:c r="N806" s="116" t="str"/>
      <x:c r="O806" s="116" t="str">
        <x:v>https://m.blog.naver.com/sntu2010/221359869439</x:v>
      </x:c>
      <x:c r="P806" s="112" t="str">
        <x:v>아니오</x:v>
      </x:c>
      <x:c r="Q806" s="113" t="str">
        <x:v>수동 검토 필요</x:v>
      </x:c>
    </x:row>
    <x:row r="807">
      <x:c r="A807" s="100" t="n">
        <x:v>806</x:v>
      </x:c>
      <x:c r="B807" s="101" t="n">
        <x:v>43358</x:v>
      </x:c>
      <x:c r="C807" s="102" t="n">
        <x:v>2018</x:v>
      </x:c>
      <x:c r="D807" s="103" t="str">
        <x:v>ID-221359869340</x:v>
      </x:c>
      <x:c r="E807" s="112" t="str">
        <x:v>[공유] [YANAMi] 몸 그리는 법 같은 것</x:v>
      </x:c>
      <x:c r="F807" s="112" t="str">
        <x:v>웹툰작법</x:v>
      </x:c>
      <x:c r="G807" s="112" t="str">
        <x:v>웹툰 참고</x:v>
      </x:c>
      <x:c r="H807" s="112" t="str">
        <x:v>작법·상업성</x:v>
      </x:c>
      <x:c r="I807" s="112" t="n">
        <x:v>1</x:v>
      </x:c>
      <x:c r="J807" s="112" t="str">
        <x:v>작법</x:v>
      </x:c>
      <x:c r="K807" s="112" t="str">
        <x:v>본인 작성/의견 추정</x:v>
      </x:c>
      <x:c r="L807" s="112" t="str">
        <x:v>낮음</x:v>
      </x:c>
      <x:c r="M807" s="112" t="str">
        <x:v>재게시 표시는 없으나 저자성 직접 증거 부족</x:v>
      </x:c>
      <x:c r="N807" s="116" t="str"/>
      <x:c r="O807" s="116" t="str">
        <x:v>https://m.blog.naver.com/sntu2010/221359869340</x:v>
      </x:c>
      <x:c r="P807" s="112" t="str">
        <x:v>아니오</x:v>
      </x:c>
      <x:c r="Q807" s="113" t="str">
        <x:v>수동 검토 필요</x:v>
      </x:c>
    </x:row>
    <x:row r="808">
      <x:c r="A808" s="100" t="n">
        <x:v>807</x:v>
      </x:c>
      <x:c r="B808" s="101" t="n">
        <x:v>43358</x:v>
      </x:c>
      <x:c r="C808" s="102" t="n">
        <x:v>2018</x:v>
      </x:c>
      <x:c r="D808" s="103" t="str">
        <x:v>ID-221359869272</x:v>
      </x:c>
      <x:c r="E808" s="112" t="str">
        <x:v>[공유] [ナズナ] 그리기 초심자를 위한 옷 주름 초급편</x:v>
      </x:c>
      <x:c r="F808" s="112" t="str">
        <x:v>웹툰작법</x:v>
      </x:c>
      <x:c r="G808" s="112" t="str">
        <x:v>웹툰 참고</x:v>
      </x:c>
      <x:c r="H808" s="112" t="str">
        <x:v>작법·상업성</x:v>
      </x:c>
      <x:c r="I808" s="112" t="n">
        <x:v>1</x:v>
      </x:c>
      <x:c r="J808" s="112" t="str">
        <x:v>작법</x:v>
      </x:c>
      <x:c r="K808" s="112" t="str">
        <x:v>본인 작성/의견 추정</x:v>
      </x:c>
      <x:c r="L808" s="112" t="str">
        <x:v>낮음</x:v>
      </x:c>
      <x:c r="M808" s="112" t="str">
        <x:v>재게시 표시는 없으나 저자성 직접 증거 부족</x:v>
      </x:c>
      <x:c r="N808" s="116" t="str"/>
      <x:c r="O808" s="116" t="str">
        <x:v>https://m.blog.naver.com/sntu2010/221359869272</x:v>
      </x:c>
      <x:c r="P808" s="112" t="str">
        <x:v>아니오</x:v>
      </x:c>
      <x:c r="Q808" s="113" t="str">
        <x:v>수동 검토 필요</x:v>
      </x:c>
    </x:row>
    <x:row r="809">
      <x:c r="A809" s="100" t="n">
        <x:v>808</x:v>
      </x:c>
      <x:c r="B809" s="101" t="n">
        <x:v>43358</x:v>
      </x:c>
      <x:c r="C809" s="102" t="n">
        <x:v>2018</x:v>
      </x:c>
      <x:c r="D809" s="103" t="str">
        <x:v>ID-221359869203</x:v>
      </x:c>
      <x:c r="E809" s="112" t="str">
        <x:v>[공유] [joy ride] 손 그릴 때 까먹기 쉬운 점!</x:v>
      </x:c>
      <x:c r="F809" s="112" t="str">
        <x:v>웹툰작법</x:v>
      </x:c>
      <x:c r="G809" s="112" t="str">
        <x:v>웹툰 참고</x:v>
      </x:c>
      <x:c r="H809" s="112" t="str">
        <x:v>작법·상업성</x:v>
      </x:c>
      <x:c r="I809" s="112" t="n">
        <x:v>1</x:v>
      </x:c>
      <x:c r="J809" s="112" t="str">
        <x:v>작법</x:v>
      </x:c>
      <x:c r="K809" s="112" t="str">
        <x:v>본인 작성/의견 추정</x:v>
      </x:c>
      <x:c r="L809" s="112" t="str">
        <x:v>낮음</x:v>
      </x:c>
      <x:c r="M809" s="112" t="str">
        <x:v>재게시 표시는 없으나 저자성 직접 증거 부족</x:v>
      </x:c>
      <x:c r="N809" s="116" t="str"/>
      <x:c r="O809" s="116" t="str">
        <x:v>https://m.blog.naver.com/sntu2010/221359869203</x:v>
      </x:c>
      <x:c r="P809" s="112" t="str">
        <x:v>아니오</x:v>
      </x:c>
      <x:c r="Q809" s="113" t="str">
        <x:v>수동 검토 필요</x:v>
      </x:c>
    </x:row>
    <x:row r="810">
      <x:c r="A810" s="100" t="n">
        <x:v>809</x:v>
      </x:c>
      <x:c r="B810" s="101" t="n">
        <x:v>43358</x:v>
      </x:c>
      <x:c r="C810" s="102" t="n">
        <x:v>2018</x:v>
      </x:c>
      <x:c r="D810" s="103" t="str">
        <x:v>ID-221359869132</x:v>
      </x:c>
      <x:c r="E810" s="112" t="str">
        <x:v>[공유] [流星拳砲岩] 극히 개인적인 가슴 그리는 법</x:v>
      </x:c>
      <x:c r="F810" s="112" t="str">
        <x:v>웹툰작법</x:v>
      </x:c>
      <x:c r="G810" s="112" t="str">
        <x:v>웹툰 참고</x:v>
      </x:c>
      <x:c r="H810" s="112" t="str">
        <x:v>작법·상업성</x:v>
      </x:c>
      <x:c r="I810" s="112" t="n">
        <x:v>1</x:v>
      </x:c>
      <x:c r="J810" s="112" t="str">
        <x:v>작법</x:v>
      </x:c>
      <x:c r="K810" s="112" t="str">
        <x:v>본인 작성/의견 추정</x:v>
      </x:c>
      <x:c r="L810" s="112" t="str">
        <x:v>낮음</x:v>
      </x:c>
      <x:c r="M810" s="112" t="str">
        <x:v>재게시 표시는 없으나 저자성 직접 증거 부족</x:v>
      </x:c>
      <x:c r="N810" s="116" t="str"/>
      <x:c r="O810" s="116" t="str">
        <x:v>https://m.blog.naver.com/sntu2010/221359869132</x:v>
      </x:c>
      <x:c r="P810" s="112" t="str">
        <x:v>아니오</x:v>
      </x:c>
      <x:c r="Q810" s="113" t="str">
        <x:v>수동 검토 필요</x:v>
      </x:c>
    </x:row>
    <x:row r="811">
      <x:c r="A811" s="100" t="n">
        <x:v>810</x:v>
      </x:c>
      <x:c r="B811" s="101" t="n">
        <x:v>43358</x:v>
      </x:c>
      <x:c r="C811" s="102" t="n">
        <x:v>2018</x:v>
      </x:c>
      <x:c r="D811" s="103" t="str">
        <x:v>ID-221359869054</x:v>
      </x:c>
      <x:c r="E811" s="112" t="str">
        <x:v>[공유] [キタジマ] 부감 구도 그리는 방법</x:v>
      </x:c>
      <x:c r="F811" s="112" t="str">
        <x:v>웹툰작법</x:v>
      </x:c>
      <x:c r="G811" s="112" t="str">
        <x:v>웹툰 참고</x:v>
      </x:c>
      <x:c r="H811" s="112" t="str">
        <x:v>작법·상업성</x:v>
      </x:c>
      <x:c r="I811" s="112" t="n">
        <x:v>1</x:v>
      </x:c>
      <x:c r="J811" s="112" t="str">
        <x:v>작법</x:v>
      </x:c>
      <x:c r="K811" s="112" t="str">
        <x:v>본인 작성/의견 추정</x:v>
      </x:c>
      <x:c r="L811" s="112" t="str">
        <x:v>낮음</x:v>
      </x:c>
      <x:c r="M811" s="112" t="str">
        <x:v>재게시 표시는 없으나 저자성 직접 증거 부족</x:v>
      </x:c>
      <x:c r="N811" s="116" t="str"/>
      <x:c r="O811" s="116" t="str">
        <x:v>https://m.blog.naver.com/sntu2010/221359869054</x:v>
      </x:c>
      <x:c r="P811" s="112" t="str">
        <x:v>아니오</x:v>
      </x:c>
      <x:c r="Q811" s="113" t="str">
        <x:v>수동 검토 필요</x:v>
      </x:c>
    </x:row>
    <x:row r="812">
      <x:c r="A812" s="100" t="n">
        <x:v>811</x:v>
      </x:c>
      <x:c r="B812" s="101" t="n">
        <x:v>43358</x:v>
      </x:c>
      <x:c r="C812" s="102" t="n">
        <x:v>2018</x:v>
      </x:c>
      <x:c r="D812" s="103" t="str">
        <x:v>ID-221359868960</x:v>
      </x:c>
      <x:c r="E812" s="112" t="str">
        <x:v>[공유] [KANちゃん] 구두 그리는 법 『힐 법』으로 로퍼를 그리자!</x:v>
      </x:c>
      <x:c r="F812" s="112" t="str">
        <x:v>웹툰작법</x:v>
      </x:c>
      <x:c r="G812" s="112" t="str">
        <x:v>웹툰 참고</x:v>
      </x:c>
      <x:c r="H812" s="112" t="str">
        <x:v>작법·상업성</x:v>
      </x:c>
      <x:c r="I812" s="112" t="n">
        <x:v>1</x:v>
      </x:c>
      <x:c r="J812" s="112" t="str">
        <x:v>작법</x:v>
      </x:c>
      <x:c r="K812" s="112" t="str">
        <x:v>본인 작성/의견 추정</x:v>
      </x:c>
      <x:c r="L812" s="112" t="str">
        <x:v>낮음</x:v>
      </x:c>
      <x:c r="M812" s="112" t="str">
        <x:v>재게시 표시는 없으나 저자성 직접 증거 부족</x:v>
      </x:c>
      <x:c r="N812" s="116" t="str"/>
      <x:c r="O812" s="116" t="str">
        <x:v>https://m.blog.naver.com/sntu2010/221359868960</x:v>
      </x:c>
      <x:c r="P812" s="112" t="str">
        <x:v>아니오</x:v>
      </x:c>
      <x:c r="Q812" s="113" t="str">
        <x:v>수동 검토 필요</x:v>
      </x:c>
    </x:row>
    <x:row r="813">
      <x:c r="A813" s="100" t="n">
        <x:v>812</x:v>
      </x:c>
      <x:c r="B813" s="101" t="n">
        <x:v>43358</x:v>
      </x:c>
      <x:c r="C813" s="102" t="n">
        <x:v>2018</x:v>
      </x:c>
      <x:c r="D813" s="103" t="str">
        <x:v>ID-221359868864</x:v>
      </x:c>
      <x:c r="E813" s="112" t="str">
        <x:v>[공유] [きぃら～☆] 키이라~☆적인 그림 강좌 1♪ [머리~선화 편]</x:v>
      </x:c>
      <x:c r="F813" s="112" t="str">
        <x:v>웹툰작법</x:v>
      </x:c>
      <x:c r="G813" s="112" t="str">
        <x:v>웹툰 참고</x:v>
      </x:c>
      <x:c r="H813" s="112" t="str">
        <x:v>작법·상업성</x:v>
      </x:c>
      <x:c r="I813" s="112" t="n">
        <x:v>1</x:v>
      </x:c>
      <x:c r="J813" s="112" t="str">
        <x:v>작법</x:v>
      </x:c>
      <x:c r="K813" s="112" t="str">
        <x:v>본인 작성/의견 추정</x:v>
      </x:c>
      <x:c r="L813" s="112" t="str">
        <x:v>낮음</x:v>
      </x:c>
      <x:c r="M813" s="112" t="str">
        <x:v>재게시 표시는 없으나 저자성 직접 증거 부족</x:v>
      </x:c>
      <x:c r="N813" s="116" t="str"/>
      <x:c r="O813" s="116" t="str">
        <x:v>https://m.blog.naver.com/sntu2010/221359868864</x:v>
      </x:c>
      <x:c r="P813" s="112" t="str">
        <x:v>아니오</x:v>
      </x:c>
      <x:c r="Q813" s="113" t="str">
        <x:v>수동 검토 필요</x:v>
      </x:c>
    </x:row>
    <x:row r="814">
      <x:c r="A814" s="100" t="n">
        <x:v>813</x:v>
      </x:c>
      <x:c r="B814" s="101" t="n">
        <x:v>43358</x:v>
      </x:c>
      <x:c r="C814" s="102" t="n">
        <x:v>2018</x:v>
      </x:c>
      <x:c r="D814" s="103" t="str">
        <x:v>ID-221359868801</x:v>
      </x:c>
      <x:c r="E814" s="112" t="str">
        <x:v>[공유] [refeia] 옷 칠하는 법 강좌</x:v>
      </x:c>
      <x:c r="F814" s="112" t="str">
        <x:v>웹툰작법</x:v>
      </x:c>
      <x:c r="G814" s="112" t="str">
        <x:v>웹툰 참고</x:v>
      </x:c>
      <x:c r="H814" s="112" t="str">
        <x:v>작법·상업성</x:v>
      </x:c>
      <x:c r="I814" s="112" t="n">
        <x:v>1</x:v>
      </x:c>
      <x:c r="J814" s="112" t="str">
        <x:v>작법</x:v>
      </x:c>
      <x:c r="K814" s="112" t="str">
        <x:v>본인 작성/의견 추정</x:v>
      </x:c>
      <x:c r="L814" s="112" t="str">
        <x:v>낮음</x:v>
      </x:c>
      <x:c r="M814" s="112" t="str">
        <x:v>재게시 표시는 없으나 저자성 직접 증거 부족</x:v>
      </x:c>
      <x:c r="N814" s="116" t="str"/>
      <x:c r="O814" s="116" t="str">
        <x:v>https://m.blog.naver.com/sntu2010/221359868801</x:v>
      </x:c>
      <x:c r="P814" s="112" t="str">
        <x:v>아니오</x:v>
      </x:c>
      <x:c r="Q814" s="113" t="str">
        <x:v>수동 검토 필요</x:v>
      </x:c>
    </x:row>
    <x:row r="815">
      <x:c r="A815" s="100" t="n">
        <x:v>814</x:v>
      </x:c>
      <x:c r="B815" s="101" t="n">
        <x:v>43358</x:v>
      </x:c>
      <x:c r="C815" s="102" t="n">
        <x:v>2018</x:v>
      </x:c>
      <x:c r="D815" s="103" t="str">
        <x:v>ID-221359868730</x:v>
      </x:c>
      <x:c r="E815" s="112" t="str">
        <x:v>[공유] [SAI] 빛이 통하는 날개 빠르게 그리는 법? (중국어 주의)</x:v>
      </x:c>
      <x:c r="F815" s="112" t="str">
        <x:v>웹툰작법</x:v>
      </x:c>
      <x:c r="G815" s="112" t="str">
        <x:v>웹툰 참고</x:v>
      </x:c>
      <x:c r="H815" s="112" t="str">
        <x:v>작법·상업성</x:v>
      </x:c>
      <x:c r="I815" s="112" t="n">
        <x:v>1</x:v>
      </x:c>
      <x:c r="J815" s="112" t="str">
        <x:v>작법</x:v>
      </x:c>
      <x:c r="K815" s="112" t="str">
        <x:v>본인 작성/의견 추정</x:v>
      </x:c>
      <x:c r="L815" s="112" t="str">
        <x:v>낮음</x:v>
      </x:c>
      <x:c r="M815" s="112" t="str">
        <x:v>재게시 표시는 없으나 저자성 직접 증거 부족</x:v>
      </x:c>
      <x:c r="N815" s="116" t="str"/>
      <x:c r="O815" s="116" t="str">
        <x:v>https://m.blog.naver.com/sntu2010/221359868730</x:v>
      </x:c>
      <x:c r="P815" s="112" t="str">
        <x:v>아니오</x:v>
      </x:c>
      <x:c r="Q815" s="113" t="str">
        <x:v>수동 검토 필요</x:v>
      </x:c>
    </x:row>
    <x:row r="816">
      <x:c r="A816" s="100" t="n">
        <x:v>815</x:v>
      </x:c>
      <x:c r="B816" s="101" t="n">
        <x:v>43358</x:v>
      </x:c>
      <x:c r="C816" s="102" t="n">
        <x:v>2018</x:v>
      </x:c>
      <x:c r="D816" s="103" t="str">
        <x:v>ID-221359868580</x:v>
      </x:c>
      <x:c r="E816" s="112" t="str">
        <x:v>[공유] [SAI&amp;Photoshop] 애니 채색 메이킹</x:v>
      </x:c>
      <x:c r="F816" s="112" t="str">
        <x:v>웹툰작법</x:v>
      </x:c>
      <x:c r="G816" s="112" t="str">
        <x:v>웹툰 참고</x:v>
      </x:c>
      <x:c r="H816" s="112" t="str">
        <x:v>작법·상업성</x:v>
      </x:c>
      <x:c r="I816" s="112" t="n">
        <x:v>1</x:v>
      </x:c>
      <x:c r="J816" s="112" t="str">
        <x:v>작법</x:v>
      </x:c>
      <x:c r="K816" s="112" t="str">
        <x:v>본인 작성/의견 추정</x:v>
      </x:c>
      <x:c r="L816" s="112" t="str">
        <x:v>낮음</x:v>
      </x:c>
      <x:c r="M816" s="112" t="str">
        <x:v>재게시 표시는 없으나 저자성 직접 증거 부족</x:v>
      </x:c>
      <x:c r="N816" s="116" t="str"/>
      <x:c r="O816" s="116" t="str">
        <x:v>https://m.blog.naver.com/sntu2010/221359868580</x:v>
      </x:c>
      <x:c r="P816" s="112" t="str">
        <x:v>아니오</x:v>
      </x:c>
      <x:c r="Q816" s="113" t="str">
        <x:v>수동 검토 필요</x:v>
      </x:c>
    </x:row>
    <x:row r="817">
      <x:c r="A817" s="100" t="n">
        <x:v>816</x:v>
      </x:c>
      <x:c r="B817" s="101" t="n">
        <x:v>43358</x:v>
      </x:c>
      <x:c r="C817" s="102" t="n">
        <x:v>2018</x:v>
      </x:c>
      <x:c r="D817" s="103" t="str">
        <x:v>ID-221359868487</x:v>
      </x:c>
      <x:c r="E817" s="112" t="str">
        <x:v>[공유] [자료] 피부 배색 모음.</x:v>
      </x:c>
      <x:c r="F817" s="112" t="str">
        <x:v>웹툰작법</x:v>
      </x:c>
      <x:c r="G817" s="112" t="str">
        <x:v>웹툰 참고</x:v>
      </x:c>
      <x:c r="H817" s="112" t="str">
        <x:v>작법·상업성</x:v>
      </x:c>
      <x:c r="I817" s="112" t="n">
        <x:v>1</x:v>
      </x:c>
      <x:c r="J817" s="112" t="str">
        <x:v>작법</x:v>
      </x:c>
      <x:c r="K817" s="112" t="str">
        <x:v>본인 작성/의견 추정</x:v>
      </x:c>
      <x:c r="L817" s="112" t="str">
        <x:v>낮음</x:v>
      </x:c>
      <x:c r="M817" s="112" t="str">
        <x:v>재게시 표시는 없으나 저자성 직접 증거 부족</x:v>
      </x:c>
      <x:c r="N817" s="116" t="str"/>
      <x:c r="O817" s="116" t="str">
        <x:v>https://m.blog.naver.com/sntu2010/221359868487</x:v>
      </x:c>
      <x:c r="P817" s="112" t="str">
        <x:v>아니오</x:v>
      </x:c>
      <x:c r="Q817" s="113" t="str">
        <x:v>수동 검토 필요</x:v>
      </x:c>
    </x:row>
    <x:row r="818">
      <x:c r="A818" s="100" t="n">
        <x:v>817</x:v>
      </x:c>
      <x:c r="B818" s="101" t="n">
        <x:v>43358</x:v>
      </x:c>
      <x:c r="C818" s="102" t="n">
        <x:v>2018</x:v>
      </x:c>
      <x:c r="D818" s="103" t="str">
        <x:v>ID-221359868410</x:v>
      </x:c>
      <x:c r="E818" s="112" t="str">
        <x:v>[공유] [SAI] 30분으로 하늘 같은 것을 그린다 [레이어1장&amp;기존브러쉬]</x:v>
      </x:c>
      <x:c r="F818" s="112" t="str">
        <x:v>웹툰작법</x:v>
      </x:c>
      <x:c r="G818" s="112" t="str">
        <x:v>웹툰 참고</x:v>
      </x:c>
      <x:c r="H818" s="112" t="str">
        <x:v>작법·상업성</x:v>
      </x:c>
      <x:c r="I818" s="112" t="n">
        <x:v>1</x:v>
      </x:c>
      <x:c r="J818" s="112" t="str">
        <x:v>작법</x:v>
      </x:c>
      <x:c r="K818" s="112" t="str">
        <x:v>본인 작성/의견 추정</x:v>
      </x:c>
      <x:c r="L818" s="112" t="str">
        <x:v>낮음</x:v>
      </x:c>
      <x:c r="M818" s="112" t="str">
        <x:v>재게시 표시는 없으나 저자성 직접 증거 부족</x:v>
      </x:c>
      <x:c r="N818" s="116" t="str"/>
      <x:c r="O818" s="116" t="str">
        <x:v>https://m.blog.naver.com/sntu2010/221359868410</x:v>
      </x:c>
      <x:c r="P818" s="112" t="str">
        <x:v>아니오</x:v>
      </x:c>
      <x:c r="Q818" s="113" t="str">
        <x:v>수동 검토 필요</x:v>
      </x:c>
    </x:row>
    <x:row r="819">
      <x:c r="A819" s="100" t="n">
        <x:v>818</x:v>
      </x:c>
      <x:c r="B819" s="101" t="n">
        <x:v>43358</x:v>
      </x:c>
      <x:c r="C819" s="102" t="n">
        <x:v>2018</x:v>
      </x:c>
      <x:c r="D819" s="103" t="str">
        <x:v>ID-221359868353</x:v>
      </x:c>
      <x:c r="E819" s="112" t="str">
        <x:v>[공유] [仲谷]주로 SAI로 애니메이션 칠 같은 초심자 대상</x:v>
      </x:c>
      <x:c r="F819" s="112" t="str">
        <x:v>웹툰작법</x:v>
      </x:c>
      <x:c r="G819" s="112" t="str">
        <x:v>웹툰 참고</x:v>
      </x:c>
      <x:c r="H819" s="112" t="str">
        <x:v>작법·상업성</x:v>
      </x:c>
      <x:c r="I819" s="112" t="n">
        <x:v>1</x:v>
      </x:c>
      <x:c r="J819" s="112" t="str">
        <x:v>작법</x:v>
      </x:c>
      <x:c r="K819" s="112" t="str">
        <x:v>본인 작성/의견 추정</x:v>
      </x:c>
      <x:c r="L819" s="112" t="str">
        <x:v>낮음</x:v>
      </x:c>
      <x:c r="M819" s="112" t="str">
        <x:v>재게시 표시는 없으나 저자성 직접 증거 부족</x:v>
      </x:c>
      <x:c r="N819" s="116" t="str"/>
      <x:c r="O819" s="116" t="str">
        <x:v>https://m.blog.naver.com/sntu2010/221359868353</x:v>
      </x:c>
      <x:c r="P819" s="112" t="str">
        <x:v>아니오</x:v>
      </x:c>
      <x:c r="Q819" s="113" t="str">
        <x:v>수동 검토 필요</x:v>
      </x:c>
    </x:row>
    <x:row r="820">
      <x:c r="A820" s="100" t="n">
        <x:v>819</x:v>
      </x:c>
      <x:c r="B820" s="101" t="n">
        <x:v>43358</x:v>
      </x:c>
      <x:c r="C820" s="102" t="n">
        <x:v>2018</x:v>
      </x:c>
      <x:c r="D820" s="103" t="str">
        <x:v>ID-221359868268</x:v>
      </x:c>
      <x:c r="E820" s="112" t="str">
        <x:v>[공유] [らいらっく]날개에 대해 여러가지 (완전판)</x:v>
      </x:c>
      <x:c r="F820" s="112" t="str">
        <x:v>웹툰작법</x:v>
      </x:c>
      <x:c r="G820" s="112" t="str">
        <x:v>웹툰 참고</x:v>
      </x:c>
      <x:c r="H820" s="112" t="str">
        <x:v>작법·상업성</x:v>
      </x:c>
      <x:c r="I820" s="112" t="n">
        <x:v>1</x:v>
      </x:c>
      <x:c r="J820" s="112" t="str">
        <x:v>작법</x:v>
      </x:c>
      <x:c r="K820" s="112" t="str">
        <x:v>본인 작성/의견 추정</x:v>
      </x:c>
      <x:c r="L820" s="112" t="str">
        <x:v>낮음</x:v>
      </x:c>
      <x:c r="M820" s="112" t="str">
        <x:v>재게시 표시는 없으나 저자성 직접 증거 부족</x:v>
      </x:c>
      <x:c r="N820" s="116" t="str"/>
      <x:c r="O820" s="116" t="str">
        <x:v>https://m.blog.naver.com/sntu2010/221359868268</x:v>
      </x:c>
      <x:c r="P820" s="112" t="str">
        <x:v>아니오</x:v>
      </x:c>
      <x:c r="Q820" s="113" t="str">
        <x:v>수동 검토 필요</x:v>
      </x:c>
    </x:row>
    <x:row r="821">
      <x:c r="A821" s="100" t="n">
        <x:v>820</x:v>
      </x:c>
      <x:c r="B821" s="101" t="n">
        <x:v>43358</x:v>
      </x:c>
      <x:c r="C821" s="102" t="n">
        <x:v>2018</x:v>
      </x:c>
      <x:c r="D821" s="103" t="str">
        <x:v>ID-221359868201</x:v>
      </x:c>
      <x:c r="E821" s="112" t="str">
        <x:v>[공유] [らいらっく]날개에 대해 여러가지 (3/3)</x:v>
      </x:c>
      <x:c r="F821" s="112" t="str">
        <x:v>웹툰작법</x:v>
      </x:c>
      <x:c r="G821" s="112" t="str">
        <x:v>웹툰 참고</x:v>
      </x:c>
      <x:c r="H821" s="112" t="str">
        <x:v>작법·상업성</x:v>
      </x:c>
      <x:c r="I821" s="112" t="n">
        <x:v>1</x:v>
      </x:c>
      <x:c r="J821" s="112" t="str">
        <x:v>작법</x:v>
      </x:c>
      <x:c r="K821" s="112" t="str">
        <x:v>본인 작성/의견 추정</x:v>
      </x:c>
      <x:c r="L821" s="112" t="str">
        <x:v>낮음</x:v>
      </x:c>
      <x:c r="M821" s="112" t="str">
        <x:v>재게시 표시는 없으나 저자성 직접 증거 부족</x:v>
      </x:c>
      <x:c r="N821" s="116" t="str"/>
      <x:c r="O821" s="116" t="str">
        <x:v>https://m.blog.naver.com/sntu2010/221359868201</x:v>
      </x:c>
      <x:c r="P821" s="112" t="str">
        <x:v>아니오</x:v>
      </x:c>
      <x:c r="Q821" s="113" t="str">
        <x:v>수동 검토 필요</x:v>
      </x:c>
    </x:row>
    <x:row r="822">
      <x:c r="A822" s="100" t="n">
        <x:v>821</x:v>
      </x:c>
      <x:c r="B822" s="101" t="n">
        <x:v>43358</x:v>
      </x:c>
      <x:c r="C822" s="102" t="n">
        <x:v>2018</x:v>
      </x:c>
      <x:c r="D822" s="103" t="str">
        <x:v>ID-221359868135</x:v>
      </x:c>
      <x:c r="E822" s="112" t="str">
        <x:v>[공유] [らいらっく]날개에 대해 여러가지 (2/3)</x:v>
      </x:c>
      <x:c r="F822" s="112" t="str">
        <x:v>웹툰작법</x:v>
      </x:c>
      <x:c r="G822" s="112" t="str">
        <x:v>웹툰 참고</x:v>
      </x:c>
      <x:c r="H822" s="112" t="str">
        <x:v>작법·상업성</x:v>
      </x:c>
      <x:c r="I822" s="112" t="n">
        <x:v>1</x:v>
      </x:c>
      <x:c r="J822" s="112" t="str">
        <x:v>작법</x:v>
      </x:c>
      <x:c r="K822" s="112" t="str">
        <x:v>본인 작성/의견 추정</x:v>
      </x:c>
      <x:c r="L822" s="112" t="str">
        <x:v>낮음</x:v>
      </x:c>
      <x:c r="M822" s="112" t="str">
        <x:v>재게시 표시는 없으나 저자성 직접 증거 부족</x:v>
      </x:c>
      <x:c r="N822" s="116" t="str"/>
      <x:c r="O822" s="116" t="str">
        <x:v>https://m.blog.naver.com/sntu2010/221359868135</x:v>
      </x:c>
      <x:c r="P822" s="112" t="str">
        <x:v>아니오</x:v>
      </x:c>
      <x:c r="Q822" s="113" t="str">
        <x:v>수동 검토 필요</x:v>
      </x:c>
    </x:row>
    <x:row r="823">
      <x:c r="A823" s="100" t="n">
        <x:v>822</x:v>
      </x:c>
      <x:c r="B823" s="101" t="n">
        <x:v>43358</x:v>
      </x:c>
      <x:c r="C823" s="102" t="n">
        <x:v>2018</x:v>
      </x:c>
      <x:c r="D823" s="103" t="str">
        <x:v>ID-221359868074</x:v>
      </x:c>
      <x:c r="E823" s="112" t="str">
        <x:v>[공유] [らいらっく]날개에 대해 여러가지 (1/3)</x:v>
      </x:c>
      <x:c r="F823" s="112" t="str">
        <x:v>웹툰작법</x:v>
      </x:c>
      <x:c r="G823" s="112" t="str">
        <x:v>웹툰 참고</x:v>
      </x:c>
      <x:c r="H823" s="112" t="str">
        <x:v>작법·상업성</x:v>
      </x:c>
      <x:c r="I823" s="112" t="n">
        <x:v>1</x:v>
      </x:c>
      <x:c r="J823" s="112" t="str">
        <x:v>작법</x:v>
      </x:c>
      <x:c r="K823" s="112" t="str">
        <x:v>본인 작성/의견 추정</x:v>
      </x:c>
      <x:c r="L823" s="112" t="str">
        <x:v>낮음</x:v>
      </x:c>
      <x:c r="M823" s="112" t="str">
        <x:v>재게시 표시는 없으나 저자성 직접 증거 부족</x:v>
      </x:c>
      <x:c r="N823" s="116" t="str"/>
      <x:c r="O823" s="116" t="str">
        <x:v>https://m.blog.naver.com/sntu2010/221359868074</x:v>
      </x:c>
      <x:c r="P823" s="112" t="str">
        <x:v>아니오</x:v>
      </x:c>
      <x:c r="Q823" s="113" t="str">
        <x:v>수동 검토 필요</x:v>
      </x:c>
    </x:row>
    <x:row r="824">
      <x:c r="A824" s="100" t="n">
        <x:v>823</x:v>
      </x:c>
      <x:c r="B824" s="101" t="n">
        <x:v>43358</x:v>
      </x:c>
      <x:c r="C824" s="102" t="n">
        <x:v>2018</x:v>
      </x:c>
      <x:c r="D824" s="103" t="str">
        <x:v>ID-221359867984</x:v>
      </x:c>
      <x:c r="E824" s="112" t="str">
        <x:v>[공유] [あさぎり]기계라든지 발광의 너무 간단한 강좌?</x:v>
      </x:c>
      <x:c r="F824" s="112" t="str">
        <x:v>웹툰작법</x:v>
      </x:c>
      <x:c r="G824" s="112" t="str">
        <x:v>웹툰 참고</x:v>
      </x:c>
      <x:c r="H824" s="112" t="str">
        <x:v>작법·상업성</x:v>
      </x:c>
      <x:c r="I824" s="112" t="n">
        <x:v>1</x:v>
      </x:c>
      <x:c r="J824" s="112" t="str">
        <x:v>작법</x:v>
      </x:c>
      <x:c r="K824" s="112" t="str">
        <x:v>본인 작성/의견 추정</x:v>
      </x:c>
      <x:c r="L824" s="112" t="str">
        <x:v>낮음</x:v>
      </x:c>
      <x:c r="M824" s="112" t="str">
        <x:v>재게시 표시는 없으나 저자성 직접 증거 부족</x:v>
      </x:c>
      <x:c r="N824" s="116" t="str"/>
      <x:c r="O824" s="116" t="str">
        <x:v>https://m.blog.naver.com/sntu2010/221359867984</x:v>
      </x:c>
      <x:c r="P824" s="112" t="str">
        <x:v>아니오</x:v>
      </x:c>
      <x:c r="Q824" s="113" t="str">
        <x:v>수동 검토 필요</x:v>
      </x:c>
    </x:row>
    <x:row r="825">
      <x:c r="A825" s="100" t="n">
        <x:v>824</x:v>
      </x:c>
      <x:c r="B825" s="101" t="n">
        <x:v>43358</x:v>
      </x:c>
      <x:c r="C825" s="102" t="n">
        <x:v>2018</x:v>
      </x:c>
      <x:c r="D825" s="103" t="str">
        <x:v>ID-221359867781</x:v>
      </x:c>
      <x:c r="E825" s="112" t="str">
        <x:v>[공유] [totoまめ] 바위 칠하는 법</x:v>
      </x:c>
      <x:c r="F825" s="112" t="str">
        <x:v>웹툰작법</x:v>
      </x:c>
      <x:c r="G825" s="112" t="str">
        <x:v>웹툰 참고</x:v>
      </x:c>
      <x:c r="H825" s="112" t="str">
        <x:v>작법·상업성</x:v>
      </x:c>
      <x:c r="I825" s="112" t="n">
        <x:v>1</x:v>
      </x:c>
      <x:c r="J825" s="112" t="str">
        <x:v>작법</x:v>
      </x:c>
      <x:c r="K825" s="112" t="str">
        <x:v>본인 작성/의견 추정</x:v>
      </x:c>
      <x:c r="L825" s="112" t="str">
        <x:v>낮음</x:v>
      </x:c>
      <x:c r="M825" s="112" t="str">
        <x:v>재게시 표시는 없으나 저자성 직접 증거 부족</x:v>
      </x:c>
      <x:c r="N825" s="116" t="str"/>
      <x:c r="O825" s="116" t="str">
        <x:v>https://m.blog.naver.com/sntu2010/221359867781</x:v>
      </x:c>
      <x:c r="P825" s="112" t="str">
        <x:v>아니오</x:v>
      </x:c>
      <x:c r="Q825" s="113" t="str">
        <x:v>수동 검토 필요</x:v>
      </x:c>
    </x:row>
    <x:row r="826">
      <x:c r="A826" s="100" t="n">
        <x:v>825</x:v>
      </x:c>
      <x:c r="B826" s="101" t="n">
        <x:v>43358</x:v>
      </x:c>
      <x:c r="C826" s="102" t="n">
        <x:v>2018</x:v>
      </x:c>
      <x:c r="D826" s="103" t="str">
        <x:v>ID-221359867699</x:v>
      </x:c>
      <x:c r="E826" s="112" t="str">
        <x:v>[공유] [もんち] 매력 있는 발·다리 그리는 법</x:v>
      </x:c>
      <x:c r="F826" s="112" t="str">
        <x:v>웹툰작법</x:v>
      </x:c>
      <x:c r="G826" s="112" t="str">
        <x:v>웹툰 참고</x:v>
      </x:c>
      <x:c r="H826" s="112" t="str">
        <x:v>작법·상업성</x:v>
      </x:c>
      <x:c r="I826" s="112" t="n">
        <x:v>1</x:v>
      </x:c>
      <x:c r="J826" s="112" t="str">
        <x:v>작법</x:v>
      </x:c>
      <x:c r="K826" s="112" t="str">
        <x:v>본인 작성/의견 추정</x:v>
      </x:c>
      <x:c r="L826" s="112" t="str">
        <x:v>낮음</x:v>
      </x:c>
      <x:c r="M826" s="112" t="str">
        <x:v>재게시 표시는 없으나 저자성 직접 증거 부족</x:v>
      </x:c>
      <x:c r="N826" s="116" t="str"/>
      <x:c r="O826" s="116" t="str">
        <x:v>https://m.blog.naver.com/sntu2010/221359867699</x:v>
      </x:c>
      <x:c r="P826" s="112" t="str">
        <x:v>아니오</x:v>
      </x:c>
      <x:c r="Q826" s="113" t="str">
        <x:v>수동 검토 필요</x:v>
      </x:c>
    </x:row>
    <x:row r="827">
      <x:c r="A827" s="100" t="n">
        <x:v>826</x:v>
      </x:c>
      <x:c r="B827" s="101" t="n">
        <x:v>43358</x:v>
      </x:c>
      <x:c r="C827" s="102" t="n">
        <x:v>2018</x:v>
      </x:c>
      <x:c r="D827" s="103" t="str">
        <x:v>ID-221359867602</x:v>
      </x:c>
      <x:c r="E827" s="112" t="str">
        <x:v>[공유] [もんち] 매력 있는 손 그리는 법</x:v>
      </x:c>
      <x:c r="F827" s="112" t="str">
        <x:v>웹툰작법</x:v>
      </x:c>
      <x:c r="G827" s="112" t="str">
        <x:v>웹툰 참고</x:v>
      </x:c>
      <x:c r="H827" s="112" t="str">
        <x:v>작법·상업성</x:v>
      </x:c>
      <x:c r="I827" s="112" t="n">
        <x:v>1</x:v>
      </x:c>
      <x:c r="J827" s="112" t="str">
        <x:v>작법</x:v>
      </x:c>
      <x:c r="K827" s="112" t="str">
        <x:v>본인 작성/의견 추정</x:v>
      </x:c>
      <x:c r="L827" s="112" t="str">
        <x:v>낮음</x:v>
      </x:c>
      <x:c r="M827" s="112" t="str">
        <x:v>재게시 표시는 없으나 저자성 직접 증거 부족</x:v>
      </x:c>
      <x:c r="N827" s="116" t="str"/>
      <x:c r="O827" s="116" t="str">
        <x:v>https://m.blog.naver.com/sntu2010/221359867602</x:v>
      </x:c>
      <x:c r="P827" s="112" t="str">
        <x:v>아니오</x:v>
      </x:c>
      <x:c r="Q827" s="113" t="str">
        <x:v>수동 검토 필요</x:v>
      </x:c>
    </x:row>
    <x:row r="828">
      <x:c r="A828" s="100" t="n">
        <x:v>827</x:v>
      </x:c>
      <x:c r="B828" s="101" t="n">
        <x:v>43358</x:v>
      </x:c>
      <x:c r="C828" s="102" t="n">
        <x:v>2018</x:v>
      </x:c>
      <x:c r="D828" s="103" t="str">
        <x:v>ID-221359867400</x:v>
      </x:c>
      <x:c r="E828" s="112" t="str">
        <x:v>[공유] [mig] 실내 원근법의 기본 강좌</x:v>
      </x:c>
      <x:c r="F828" s="112" t="str">
        <x:v>웹툰작법</x:v>
      </x:c>
      <x:c r="G828" s="112" t="str">
        <x:v>웹툰 참고</x:v>
      </x:c>
      <x:c r="H828" s="112" t="str">
        <x:v>작법·상업성</x:v>
      </x:c>
      <x:c r="I828" s="112" t="n">
        <x:v>1</x:v>
      </x:c>
      <x:c r="J828" s="112" t="str">
        <x:v>작법</x:v>
      </x:c>
      <x:c r="K828" s="112" t="str">
        <x:v>본인 작성/의견 추정</x:v>
      </x:c>
      <x:c r="L828" s="112" t="str">
        <x:v>낮음</x:v>
      </x:c>
      <x:c r="M828" s="112" t="str">
        <x:v>재게시 표시는 없으나 저자성 직접 증거 부족</x:v>
      </x:c>
      <x:c r="N828" s="116" t="str"/>
      <x:c r="O828" s="116" t="str">
        <x:v>https://m.blog.naver.com/sntu2010/221359867400</x:v>
      </x:c>
      <x:c r="P828" s="112" t="str">
        <x:v>아니오</x:v>
      </x:c>
      <x:c r="Q828" s="113" t="str">
        <x:v>수동 검토 필요</x:v>
      </x:c>
    </x:row>
    <x:row r="829">
      <x:c r="A829" s="100" t="n">
        <x:v>828</x:v>
      </x:c>
      <x:c r="B829" s="101" t="n">
        <x:v>43358</x:v>
      </x:c>
      <x:c r="C829" s="102" t="n">
        <x:v>2018</x:v>
      </x:c>
      <x:c r="D829" s="103" t="str">
        <x:v>ID-221359867248</x:v>
      </x:c>
      <x:c r="E829" s="112" t="str">
        <x:v>[공유] [kyachi] 포즈(콘트라포스토, 중심, 움직임)</x:v>
      </x:c>
      <x:c r="F829" s="112" t="str">
        <x:v>웹툰작법</x:v>
      </x:c>
      <x:c r="G829" s="112" t="str">
        <x:v>웹툰 참고</x:v>
      </x:c>
      <x:c r="H829" s="112" t="str">
        <x:v>작법·상업성</x:v>
      </x:c>
      <x:c r="I829" s="112" t="n">
        <x:v>1</x:v>
      </x:c>
      <x:c r="J829" s="112" t="str">
        <x:v>작법</x:v>
      </x:c>
      <x:c r="K829" s="112" t="str">
        <x:v>본인 작성/의견 추정</x:v>
      </x:c>
      <x:c r="L829" s="112" t="str">
        <x:v>낮음</x:v>
      </x:c>
      <x:c r="M829" s="112" t="str">
        <x:v>재게시 표시는 없으나 저자성 직접 증거 부족</x:v>
      </x:c>
      <x:c r="N829" s="116" t="str"/>
      <x:c r="O829" s="116" t="str">
        <x:v>https://m.blog.naver.com/sntu2010/221359867248</x:v>
      </x:c>
      <x:c r="P829" s="112" t="str">
        <x:v>아니오</x:v>
      </x:c>
      <x:c r="Q829" s="113" t="str">
        <x:v>수동 검토 필요</x:v>
      </x:c>
    </x:row>
    <x:row r="830">
      <x:c r="A830" s="100" t="n">
        <x:v>829</x:v>
      </x:c>
      <x:c r="B830" s="101" t="n">
        <x:v>43358</x:v>
      </x:c>
      <x:c r="C830" s="102" t="n">
        <x:v>2018</x:v>
      </x:c>
      <x:c r="D830" s="103" t="str">
        <x:v>ID-221359866492</x:v>
      </x:c>
      <x:c r="E830" s="112" t="str">
        <x:v>[공유] [ざくろ] 초심자용 구도 길잡이 20선</x:v>
      </x:c>
      <x:c r="F830" s="112" t="str">
        <x:v>웹툰작법</x:v>
      </x:c>
      <x:c r="G830" s="112" t="str">
        <x:v>웹툰 참고</x:v>
      </x:c>
      <x:c r="H830" s="112" t="str">
        <x:v>작법·상업성</x:v>
      </x:c>
      <x:c r="I830" s="112" t="n">
        <x:v>1</x:v>
      </x:c>
      <x:c r="J830" s="112" t="str">
        <x:v>작법</x:v>
      </x:c>
      <x:c r="K830" s="112" t="str">
        <x:v>본인 작성/의견 추정</x:v>
      </x:c>
      <x:c r="L830" s="112" t="str">
        <x:v>낮음</x:v>
      </x:c>
      <x:c r="M830" s="112" t="str">
        <x:v>재게시 표시는 없으나 저자성 직접 증거 부족</x:v>
      </x:c>
      <x:c r="N830" s="116" t="str"/>
      <x:c r="O830" s="116" t="str">
        <x:v>https://m.blog.naver.com/sntu2010/221359866492</x:v>
      </x:c>
      <x:c r="P830" s="112" t="str">
        <x:v>아니오</x:v>
      </x:c>
      <x:c r="Q830" s="113" t="str">
        <x:v>수동 검토 필요</x:v>
      </x:c>
    </x:row>
    <x:row r="831">
      <x:c r="A831" s="100" t="n">
        <x:v>830</x:v>
      </x:c>
      <x:c r="B831" s="101" t="n">
        <x:v>43354</x:v>
      </x:c>
      <x:c r="C831" s="102" t="n">
        <x:v>2018</x:v>
      </x:c>
      <x:c r="D831" s="103" t="str">
        <x:v>ID-221357202256</x:v>
      </x:c>
      <x:c r="E831" s="112" t="str">
        <x:v>[펌]왜 내 작품이 산으로 가고, 재미가 없어지는걸까?</x:v>
      </x:c>
      <x:c r="F831" s="112" t="str">
        <x:v>웹소작법</x:v>
      </x:c>
      <x:c r="G831" s="112" t="str">
        <x:v>웹소설 직접</x:v>
      </x:c>
      <x:c r="H831" s="112" t="str">
        <x:v>작법·상업성</x:v>
      </x:c>
      <x:c r="I831" s="112" t="n">
        <x:v>28</x:v>
      </x:c>
      <x:c r="J831" s="112" t="str">
        <x:v>재미, 장르, 독자, 클리셰, 작법</x:v>
      </x:c>
      <x:c r="K831" s="112" t="str">
        <x:v>재게시</x:v>
      </x:c>
      <x:c r="L831" s="112" t="str">
        <x:v>높음</x:v>
      </x:c>
      <x:c r="M831" s="112" t="str">
        <x:v>제목의 펌/퍼옴 표시</x:v>
      </x:c>
      <x:c r="N831" s="116" t="str">
        <x:v>http://gall.dcinside.com/mgallery/board/view/?id=tgijjdd&amp;no=38596&amp;page=1</x:v>
      </x:c>
      <x:c r="O831" s="116" t="str">
        <x:v>https://m.blog.naver.com/sntu2010/221357202256</x:v>
      </x:c>
      <x:c r="P831" s="112" t="str">
        <x:v>예</x:v>
      </x:c>
      <x:c r="Q831" s="113" t="str">
        <x:v>자동 분류·표본 검토 대상</x:v>
      </x:c>
    </x:row>
    <x:row r="832">
      <x:c r="A832" s="100" t="n">
        <x:v>831</x:v>
      </x:c>
      <x:c r="B832" s="101" t="n">
        <x:v>43353</x:v>
      </x:c>
      <x:c r="C832" s="102" t="n">
        <x:v>2018</x:v>
      </x:c>
      <x:c r="D832" s="103" t="str">
        <x:v>ID-221356142949</x:v>
      </x:c>
      <x:c r="E832" s="112" t="str">
        <x:v>[펌]진부해진 웹소설 시장에서 참신함을 살리는 법</x:v>
      </x:c>
      <x:c r="F832" s="112" t="str">
        <x:v>웹소작법</x:v>
      </x:c>
      <x:c r="G832" s="112" t="str">
        <x:v>웹소설 직접</x:v>
      </x:c>
      <x:c r="H832" s="112" t="str">
        <x:v>작법·상업성</x:v>
      </x:c>
      <x:c r="I832" s="112" t="n">
        <x:v>6</x:v>
      </x:c>
      <x:c r="J832" s="112" t="str">
        <x:v>소재, 독자, 문장, 작법</x:v>
      </x:c>
      <x:c r="K832" s="112" t="str">
        <x:v>재게시</x:v>
      </x:c>
      <x:c r="L832" s="112" t="str">
        <x:v>높음</x:v>
      </x:c>
      <x:c r="M832" s="112" t="str">
        <x:v>제목의 펌/퍼옴 표시</x:v>
      </x:c>
      <x:c r="N832" s="116" t="str">
        <x:v>http://gall.dcinside.com/mgallery/board/view/?id=tgijjdd&amp;no=35527&amp;page=1&amp;exception_mode=recommend</x:v>
      </x:c>
      <x:c r="O832" s="116" t="str">
        <x:v>https://m.blog.naver.com/sntu2010/221356142949</x:v>
      </x:c>
      <x:c r="P832" s="112" t="str">
        <x:v>예</x:v>
      </x:c>
      <x:c r="Q832" s="113" t="str">
        <x:v>자동 분류·표본 검토 대상</x:v>
      </x:c>
    </x:row>
    <x:row r="833">
      <x:c r="A833" s="100" t="n">
        <x:v>832</x:v>
      </x:c>
      <x:c r="B833" s="101" t="n">
        <x:v>43353</x:v>
      </x:c>
      <x:c r="C833" s="102" t="n">
        <x:v>2018</x:v>
      </x:c>
      <x:c r="D833" s="103" t="str">
        <x:v>ID-221356135253</x:v>
      </x:c>
      <x:c r="E833" s="112" t="str">
        <x:v>[펌]웹소설 장편 쓰는 팁</x:v>
      </x:c>
      <x:c r="F833" s="112" t="str">
        <x:v>웹소작법</x:v>
      </x:c>
      <x:c r="G833" s="112" t="str">
        <x:v>웹소설 직접</x:v>
      </x:c>
      <x:c r="H833" s="112" t="str">
        <x:v>캐릭터·전개</x:v>
      </x:c>
      <x:c r="I833" s="112" t="n">
        <x:v>8</x:v>
      </x:c>
      <x:c r="J833" s="112" t="str">
        <x:v>플롯, 시점, 인물</x:v>
      </x:c>
      <x:c r="K833" s="112" t="str">
        <x:v>재게시</x:v>
      </x:c>
      <x:c r="L833" s="112" t="str">
        <x:v>높음</x:v>
      </x:c>
      <x:c r="M833" s="112" t="str">
        <x:v>제목의 펌/퍼옴 표시</x:v>
      </x:c>
      <x:c r="N833" s="116" t="str">
        <x:v>http://gall.dcinside.com/mgallery/board/view/?id=tgijjdd&amp;no=35755&amp;page=1&amp;exception_mode=recommend</x:v>
      </x:c>
      <x:c r="O833" s="116" t="str">
        <x:v>https://m.blog.naver.com/sntu2010/221356135253</x:v>
      </x:c>
      <x:c r="P833" s="112" t="str">
        <x:v>예</x:v>
      </x:c>
      <x:c r="Q833" s="113" t="str">
        <x:v>자동 분류·표본 검토 대상</x:v>
      </x:c>
    </x:row>
    <x:row r="834">
      <x:c r="A834" s="100" t="n">
        <x:v>833</x:v>
      </x:c>
      <x:c r="B834" s="101" t="n">
        <x:v>43353</x:v>
      </x:c>
      <x:c r="C834" s="102" t="n">
        <x:v>2018</x:v>
      </x:c>
      <x:c r="D834" s="103" t="str">
        <x:v>ID-221356132077</x:v>
      </x:c>
      <x:c r="E834" s="112" t="str">
        <x:v>[펌]웹소설 고구마 + 사이다 공사치는법</x:v>
      </x:c>
      <x:c r="F834" s="112" t="str">
        <x:v>웹소작법</x:v>
      </x:c>
      <x:c r="G834" s="112" t="str">
        <x:v>웹소설 직접</x:v>
      </x:c>
      <x:c r="H834" s="112" t="str">
        <x:v>작법·상업성</x:v>
      </x:c>
      <x:c r="I834" s="112" t="n">
        <x:v>48</x:v>
      </x:c>
      <x:c r="J834" s="112" t="str">
        <x:v>고구마, 사이다, 작법</x:v>
      </x:c>
      <x:c r="K834" s="112" t="str">
        <x:v>재게시</x:v>
      </x:c>
      <x:c r="L834" s="112" t="str">
        <x:v>높음</x:v>
      </x:c>
      <x:c r="M834" s="112" t="str">
        <x:v>제목의 펌/퍼옴 표시</x:v>
      </x:c>
      <x:c r="N834" s="116" t="str">
        <x:v>http://gall.dcinside.com/mgallery/board/view/?id=tgijjdd&amp;no=36015&amp;page=1&amp;exception_mode=recommend</x:v>
      </x:c>
      <x:c r="O834" s="116" t="str">
        <x:v>https://m.blog.naver.com/sntu2010/221356132077</x:v>
      </x:c>
      <x:c r="P834" s="112" t="str">
        <x:v>예</x:v>
      </x:c>
      <x:c r="Q834" s="113" t="str">
        <x:v>자동 분류·표본 검토 대상</x:v>
      </x:c>
    </x:row>
    <x:row r="835">
      <x:c r="A835" s="100" t="n">
        <x:v>834</x:v>
      </x:c>
      <x:c r="B835" s="101" t="n">
        <x:v>43348</x:v>
      </x:c>
      <x:c r="C835" s="102" t="n">
        <x:v>2018</x:v>
      </x:c>
      <x:c r="D835" s="103" t="str">
        <x:v>ID-221353051245</x:v>
      </x:c>
      <x:c r="E835" s="112" t="str">
        <x:v>[펌]무협 사전 - 호칭, 무공, 조직, 무기, 혈도, 무술, 용어</x:v>
      </x:c>
      <x:c r="F835" s="112" t="str">
        <x:v>창작소재</x:v>
      </x:c>
      <x:c r="G835" s="112" t="str">
        <x:v>공통 창작소재</x:v>
      </x:c>
      <x:c r="H835" s="112" t="str">
        <x:v>작법·상업성</x:v>
      </x:c>
      <x:c r="I835" s="112" t="n">
        <x:v>1</x:v>
      </x:c>
      <x:c r="J835" s="112" t="str">
        <x:v>소재</x:v>
      </x:c>
      <x:c r="K835" s="112" t="str">
        <x:v>재게시</x:v>
      </x:c>
      <x:c r="L835" s="112" t="str">
        <x:v>높음</x:v>
      </x:c>
      <x:c r="M835" s="112" t="str">
        <x:v>제목의 펌/퍼옴 표시</x:v>
      </x:c>
      <x:c r="N835" s="116" t="str">
        <x:v>https://www.tooli.co.kr/novel_data/457008</x:v>
      </x:c>
      <x:c r="O835" s="116" t="str">
        <x:v>https://m.blog.naver.com/sntu2010/221353051245</x:v>
      </x:c>
      <x:c r="P835" s="112" t="str">
        <x:v>아니오</x:v>
      </x:c>
      <x:c r="Q835" s="113" t="str">
        <x:v>자동 분류·표본 검토 대상</x:v>
      </x:c>
    </x:row>
    <x:row r="836">
      <x:c r="A836" s="100" t="n">
        <x:v>835</x:v>
      </x:c>
      <x:c r="B836" s="101" t="n">
        <x:v>43348</x:v>
      </x:c>
      <x:c r="C836" s="102" t="n">
        <x:v>2018</x:v>
      </x:c>
      <x:c r="D836" s="103" t="str">
        <x:v>ID-221353043263</x:v>
      </x:c>
      <x:c r="E836" s="112" t="str">
        <x:v>[펌]판타지 사전 - 정령, 몬스터, 종족, 마법</x:v>
      </x:c>
      <x:c r="F836" s="112" t="str">
        <x:v>창작소재</x:v>
      </x:c>
      <x:c r="G836" s="112" t="str">
        <x:v>공통 창작소재</x:v>
      </x:c>
      <x:c r="H836" s="112" t="str">
        <x:v>작법·상업성</x:v>
      </x:c>
      <x:c r="I836" s="112" t="n">
        <x:v>1</x:v>
      </x:c>
      <x:c r="J836" s="112" t="str">
        <x:v>소재</x:v>
      </x:c>
      <x:c r="K836" s="112" t="str">
        <x:v>재게시</x:v>
      </x:c>
      <x:c r="L836" s="112" t="str">
        <x:v>높음</x:v>
      </x:c>
      <x:c r="M836" s="112" t="str">
        <x:v>제목의 펌/퍼옴 표시</x:v>
      </x:c>
      <x:c r="N836" s="116" t="str">
        <x:v>https://www.tooli.co.kr/novel_data/457016</x:v>
      </x:c>
      <x:c r="O836" s="116" t="str">
        <x:v>https://m.blog.naver.com/sntu2010/221353043263</x:v>
      </x:c>
      <x:c r="P836" s="112" t="str">
        <x:v>아니오</x:v>
      </x:c>
      <x:c r="Q836" s="113" t="str">
        <x:v>자동 분류·표본 검토 대상</x:v>
      </x:c>
    </x:row>
    <x:row r="837">
      <x:c r="A837" s="100" t="n">
        <x:v>836</x:v>
      </x:c>
      <x:c r="B837" s="101" t="n">
        <x:v>43344</x:v>
      </x:c>
      <x:c r="C837" s="102" t="n">
        <x:v>2018</x:v>
      </x:c>
      <x:c r="D837" s="103" t="str">
        <x:v>ID-221350439097</x:v>
      </x:c>
      <x:c r="E837" s="112" t="str">
        <x:v>[펌]조아라 노블레스 연재 팁</x:v>
      </x:c>
      <x:c r="F837" s="112" t="str">
        <x:v>웹소작법</x:v>
      </x:c>
      <x:c r="G837" s="112" t="str">
        <x:v>웹소설 직접</x:v>
      </x:c>
      <x:c r="H837" s="112" t="str">
        <x:v>플랫폼·투고·계약</x:v>
      </x:c>
      <x:c r="I837" s="112" t="n">
        <x:v>22</x:v>
      </x:c>
      <x:c r="J837" s="112" t="str">
        <x:v>조아라</x:v>
      </x:c>
      <x:c r="K837" s="112" t="str">
        <x:v>재게시</x:v>
      </x:c>
      <x:c r="L837" s="112" t="str">
        <x:v>높음</x:v>
      </x:c>
      <x:c r="M837" s="112" t="str">
        <x:v>제목의 펌/퍼옴 표시</x:v>
      </x:c>
      <x:c r="N837" s="116" t="str">
        <x:v>http://gall.dcinside.com/mgallery/board/view/?id=tgijjdd&amp;no=316&amp;page=5&amp;exception_mode=recommend</x:v>
      </x:c>
      <x:c r="O837" s="116" t="str">
        <x:v>https://m.blog.naver.com/sntu2010/221350439097</x:v>
      </x:c>
      <x:c r="P837" s="112" t="str">
        <x:v>예</x:v>
      </x:c>
      <x:c r="Q837" s="113" t="str">
        <x:v>자동 분류·표본 검토 대상</x:v>
      </x:c>
    </x:row>
    <x:row r="838">
      <x:c r="A838" s="100" t="n">
        <x:v>837</x:v>
      </x:c>
      <x:c r="B838" s="101" t="n">
        <x:v>43344</x:v>
      </x:c>
      <x:c r="C838" s="102" t="n">
        <x:v>2018</x:v>
      </x:c>
      <x:c r="D838" s="103" t="str">
        <x:v>ID-221350438073</x:v>
      </x:c>
      <x:c r="E838" s="112" t="str">
        <x:v>[펌]글먹 관련한 팩트만 말함</x:v>
      </x:c>
      <x:c r="F838" s="112" t="str">
        <x:v>웹소작법</x:v>
      </x:c>
      <x:c r="G838" s="112" t="str">
        <x:v>웹소설 직접</x:v>
      </x:c>
      <x:c r="H838" s="112" t="str">
        <x:v>작법·상업성</x:v>
      </x:c>
      <x:c r="I838" s="112" t="n">
        <x:v>2</x:v>
      </x:c>
      <x:c r="J838" s="112" t="str">
        <x:v>장르, 작법</x:v>
      </x:c>
      <x:c r="K838" s="112" t="str">
        <x:v>재게시</x:v>
      </x:c>
      <x:c r="L838" s="112" t="str">
        <x:v>높음</x:v>
      </x:c>
      <x:c r="M838" s="112" t="str">
        <x:v>제목의 펌/퍼옴 표시</x:v>
      </x:c>
      <x:c r="N838" s="116" t="str">
        <x:v>http://gall.dcinside.com/mgallery/board/view/?id=tgijjdd&amp;no=746&amp;page=5&amp;exception_mode=recommend</x:v>
      </x:c>
      <x:c r="O838" s="116" t="str">
        <x:v>https://m.blog.naver.com/sntu2010/221350438073</x:v>
      </x:c>
      <x:c r="P838" s="112" t="str">
        <x:v>아니오</x:v>
      </x:c>
      <x:c r="Q838" s="113" t="str">
        <x:v>자동 분류·표본 검토 대상</x:v>
      </x:c>
    </x:row>
    <x:row r="839">
      <x:c r="A839" s="100" t="n">
        <x:v>838</x:v>
      </x:c>
      <x:c r="B839" s="101" t="n">
        <x:v>43343</x:v>
      </x:c>
      <x:c r="C839" s="102" t="n">
        <x:v>2018</x:v>
      </x:c>
      <x:c r="D839" s="103" t="str">
        <x:v>ID-221349843390</x:v>
      </x:c>
      <x:c r="E839" s="112" t="str">
        <x:v>[펌]인기 웹소설 킬더히어로 작품 분석 및 플롯 분석</x:v>
      </x:c>
      <x:c r="F839" s="112" t="str">
        <x:v>웹소작법</x:v>
      </x:c>
      <x:c r="G839" s="112" t="str">
        <x:v>웹소설 직접</x:v>
      </x:c>
      <x:c r="H839" s="112" t="str">
        <x:v>캐릭터·전개</x:v>
      </x:c>
      <x:c r="I839" s="112" t="n">
        <x:v>23</x:v>
      </x:c>
      <x:c r="J839" s="112" t="str">
        <x:v>플롯, 캐릭터, 전개</x:v>
      </x:c>
      <x:c r="K839" s="112" t="str">
        <x:v>재게시</x:v>
      </x:c>
      <x:c r="L839" s="112" t="str">
        <x:v>높음</x:v>
      </x:c>
      <x:c r="M839" s="112" t="str">
        <x:v>제목의 펌/퍼옴 표시</x:v>
      </x:c>
      <x:c r="N839" s="116" t="str">
        <x:v>http://gall.dcinside.com/mgallery/board/view/?id=tgijjdd&amp;no=35248&amp;page=1)</x:v>
      </x:c>
      <x:c r="O839" s="116" t="str">
        <x:v>https://m.blog.naver.com/sntu2010/221349843390</x:v>
      </x:c>
      <x:c r="P839" s="112" t="str">
        <x:v>예</x:v>
      </x:c>
      <x:c r="Q839" s="113" t="str">
        <x:v>자동 분류·표본 검토 대상</x:v>
      </x:c>
    </x:row>
    <x:row r="840">
      <x:c r="A840" s="100" t="n">
        <x:v>839</x:v>
      </x:c>
      <x:c r="B840" s="101" t="n">
        <x:v>43343</x:v>
      </x:c>
      <x:c r="C840" s="102" t="n">
        <x:v>2018</x:v>
      </x:c>
      <x:c r="D840" s="103" t="str">
        <x:v>ID-221349719677</x:v>
      </x:c>
      <x:c r="E840" s="112" t="str">
        <x:v>[펌]글쓰면서 팁 + 플롯 정리해본거</x:v>
      </x:c>
      <x:c r="F840" s="112" t="str">
        <x:v>웹소작법</x:v>
      </x:c>
      <x:c r="G840" s="112" t="str">
        <x:v>웹소설 직접</x:v>
      </x:c>
      <x:c r="H840" s="112" t="str">
        <x:v>캐릭터·전개</x:v>
      </x:c>
      <x:c r="I840" s="112" t="n">
        <x:v>28</x:v>
      </x:c>
      <x:c r="J840" s="112" t="str">
        <x:v>플롯, 캐릭터, 주인공, 인물, 사건</x:v>
      </x:c>
      <x:c r="K840" s="112" t="str">
        <x:v>재게시</x:v>
      </x:c>
      <x:c r="L840" s="112" t="str">
        <x:v>높음</x:v>
      </x:c>
      <x:c r="M840" s="112" t="str">
        <x:v>제목의 펌/퍼옴 표시</x:v>
      </x:c>
      <x:c r="N840" s="116" t="str">
        <x:v>http://gall.dcinside.com/mgallery/board/view/?id=tgijjdd&amp;no=35146&amp;page=1&amp;exception_mode=recommend</x:v>
      </x:c>
      <x:c r="O840" s="116" t="str">
        <x:v>https://m.blog.naver.com/sntu2010/221349719677</x:v>
      </x:c>
      <x:c r="P840" s="112" t="str">
        <x:v>예</x:v>
      </x:c>
      <x:c r="Q840" s="113" t="str">
        <x:v>자동 분류·표본 검토 대상</x:v>
      </x:c>
    </x:row>
    <x:row r="841">
      <x:c r="A841" s="100" t="n">
        <x:v>840</x:v>
      </x:c>
      <x:c r="B841" s="101" t="n">
        <x:v>43338</x:v>
      </x:c>
      <x:c r="C841" s="102" t="n">
        <x:v>2018</x:v>
      </x:c>
      <x:c r="D841" s="103" t="str">
        <x:v>ID-221346632734</x:v>
      </x:c>
      <x:c r="E841" s="112" t="str">
        <x:v>[공유] 웹툰 원고용지 사이즈 설정하기</x:v>
      </x:c>
      <x:c r="F841" s="112" t="str">
        <x:v>웹툰작법</x:v>
      </x:c>
      <x:c r="G841" s="112" t="str">
        <x:v>웹툰 참고</x:v>
      </x:c>
      <x:c r="H841" s="112" t="str">
        <x:v>작법·상업성</x:v>
      </x:c>
      <x:c r="I841" s="112" t="n">
        <x:v>21</x:v>
      </x:c>
      <x:c r="J841" s="112" t="str">
        <x:v>설정, 작법</x:v>
      </x:c>
      <x:c r="K841" s="112" t="str">
        <x:v>본인 작성/의견 추정</x:v>
      </x:c>
      <x:c r="L841" s="112" t="str">
        <x:v>낮음</x:v>
      </x:c>
      <x:c r="M841" s="112" t="str">
        <x:v>재게시 표시는 없으나 저자성 직접 증거 부족</x:v>
      </x:c>
      <x:c r="N841" s="116" t="str"/>
      <x:c r="O841" s="116" t="str">
        <x:v>https://m.blog.naver.com/sntu2010/221346632734</x:v>
      </x:c>
      <x:c r="P841" s="112" t="str">
        <x:v>아니오</x:v>
      </x:c>
      <x:c r="Q841" s="113" t="str">
        <x:v>자동 분류·표본 검토 대상</x:v>
      </x:c>
    </x:row>
    <x:row r="842">
      <x:c r="A842" s="100" t="n">
        <x:v>841</x:v>
      </x:c>
      <x:c r="B842" s="101" t="n">
        <x:v>43338</x:v>
      </x:c>
      <x:c r="C842" s="102" t="n">
        <x:v>2018</x:v>
      </x:c>
      <x:c r="D842" s="103" t="str">
        <x:v>ID-221346632578</x:v>
      </x:c>
      <x:c r="E842" s="112" t="str">
        <x:v>[공유] 스케치업 배경 후보정 하기(그라데이션맵)</x:v>
      </x:c>
      <x:c r="F842" s="112" t="str">
        <x:v>웹툰작법</x:v>
      </x:c>
      <x:c r="G842" s="112" t="str">
        <x:v>웹툰 참고</x:v>
      </x:c>
      <x:c r="H842" s="112" t="str">
        <x:v>작법·상업성</x:v>
      </x:c>
      <x:c r="I842" s="112" t="n">
        <x:v>1</x:v>
      </x:c>
      <x:c r="J842" s="112" t="str">
        <x:v>작법</x:v>
      </x:c>
      <x:c r="K842" s="112" t="str">
        <x:v>본인 작성/의견 추정</x:v>
      </x:c>
      <x:c r="L842" s="112" t="str">
        <x:v>낮음</x:v>
      </x:c>
      <x:c r="M842" s="112" t="str">
        <x:v>재게시 표시는 없으나 저자성 직접 증거 부족</x:v>
      </x:c>
      <x:c r="N842" s="116" t="str"/>
      <x:c r="O842" s="116" t="str">
        <x:v>https://m.blog.naver.com/sntu2010/221346632578</x:v>
      </x:c>
      <x:c r="P842" s="112" t="str">
        <x:v>아니오</x:v>
      </x:c>
      <x:c r="Q842" s="113" t="str">
        <x:v>수동 검토 필요</x:v>
      </x:c>
    </x:row>
    <x:row r="843">
      <x:c r="A843" s="100" t="n">
        <x:v>842</x:v>
      </x:c>
      <x:c r="B843" s="101" t="n">
        <x:v>43338</x:v>
      </x:c>
      <x:c r="C843" s="102" t="n">
        <x:v>2018</x:v>
      </x:c>
      <x:c r="D843" s="103" t="str">
        <x:v>ID-221346631956</x:v>
      </x:c>
      <x:c r="E843" s="112" t="str">
        <x:v>[공유] 만화, 그림, 색감 관련 추천 사이트들</x:v>
      </x:c>
      <x:c r="F843" s="112" t="str">
        <x:v>웹툰작법</x:v>
      </x:c>
      <x:c r="G843" s="112" t="str">
        <x:v>웹툰 참고</x:v>
      </x:c>
      <x:c r="H843" s="112" t="str">
        <x:v>작법·상업성</x:v>
      </x:c>
      <x:c r="I843" s="112" t="n">
        <x:v>1</x:v>
      </x:c>
      <x:c r="J843" s="112" t="str">
        <x:v>작법</x:v>
      </x:c>
      <x:c r="K843" s="112" t="str">
        <x:v>본인 작성/의견 추정</x:v>
      </x:c>
      <x:c r="L843" s="112" t="str">
        <x:v>낮음</x:v>
      </x:c>
      <x:c r="M843" s="112" t="str">
        <x:v>재게시 표시는 없으나 저자성 직접 증거 부족</x:v>
      </x:c>
      <x:c r="N843" s="116" t="str"/>
      <x:c r="O843" s="116" t="str">
        <x:v>https://m.blog.naver.com/sntu2010/221346631956</x:v>
      </x:c>
      <x:c r="P843" s="112" t="str">
        <x:v>아니오</x:v>
      </x:c>
      <x:c r="Q843" s="113" t="str">
        <x:v>수동 검토 필요</x:v>
      </x:c>
    </x:row>
    <x:row r="844">
      <x:c r="A844" s="100" t="n">
        <x:v>843</x:v>
      </x:c>
      <x:c r="B844" s="101" t="n">
        <x:v>43338</x:v>
      </x:c>
      <x:c r="C844" s="102" t="n">
        <x:v>2018</x:v>
      </x:c>
      <x:c r="D844" s="103" t="str">
        <x:v>ID-221346631535</x:v>
      </x:c>
      <x:c r="E844" s="112" t="str">
        <x:v>[공유] 만화 웹툰 어시스턴트 도우미 경험 이야기(내용추가)</x:v>
      </x:c>
      <x:c r="F844" s="112" t="str">
        <x:v>웹툰작법</x:v>
      </x:c>
      <x:c r="G844" s="112" t="str">
        <x:v>웹툰 참고</x:v>
      </x:c>
      <x:c r="H844" s="112" t="str">
        <x:v>작법·상업성</x:v>
      </x:c>
      <x:c r="I844" s="112" t="n">
        <x:v>1</x:v>
      </x:c>
      <x:c r="J844" s="112" t="str">
        <x:v>작법</x:v>
      </x:c>
      <x:c r="K844" s="112" t="str">
        <x:v>본인 작성/의견 추정</x:v>
      </x:c>
      <x:c r="L844" s="112" t="str">
        <x:v>낮음</x:v>
      </x:c>
      <x:c r="M844" s="112" t="str">
        <x:v>재게시 표시는 없으나 저자성 직접 증거 부족</x:v>
      </x:c>
      <x:c r="N844" s="116" t="str"/>
      <x:c r="O844" s="116" t="str">
        <x:v>https://m.blog.naver.com/sntu2010/221346631535</x:v>
      </x:c>
      <x:c r="P844" s="112" t="str">
        <x:v>아니오</x:v>
      </x:c>
      <x:c r="Q844" s="113" t="str">
        <x:v>수동 검토 필요</x:v>
      </x:c>
    </x:row>
    <x:row r="845">
      <x:c r="A845" s="100" t="n">
        <x:v>844</x:v>
      </x:c>
      <x:c r="B845" s="101" t="n">
        <x:v>43338</x:v>
      </x:c>
      <x:c r="C845" s="102" t="n">
        <x:v>2018</x:v>
      </x:c>
      <x:c r="D845" s="103" t="str">
        <x:v>ID-221346631156</x:v>
      </x:c>
      <x:c r="E845" s="112" t="str">
        <x:v>[공유] 만화가, 웹툰작가를 직업으로 삼고싶은 사람들에게</x:v>
      </x:c>
      <x:c r="F845" s="112" t="str">
        <x:v>웹툰작법</x:v>
      </x:c>
      <x:c r="G845" s="112" t="str">
        <x:v>웹툰 참고</x:v>
      </x:c>
      <x:c r="H845" s="112" t="str">
        <x:v>작법·상업성</x:v>
      </x:c>
      <x:c r="I845" s="112" t="n">
        <x:v>1</x:v>
      </x:c>
      <x:c r="J845" s="112" t="str">
        <x:v>작법</x:v>
      </x:c>
      <x:c r="K845" s="112" t="str">
        <x:v>본인 작성/의견 추정</x:v>
      </x:c>
      <x:c r="L845" s="112" t="str">
        <x:v>낮음</x:v>
      </x:c>
      <x:c r="M845" s="112" t="str">
        <x:v>재게시 표시는 없으나 저자성 직접 증거 부족</x:v>
      </x:c>
      <x:c r="N845" s="116" t="str"/>
      <x:c r="O845" s="116" t="str">
        <x:v>https://m.blog.naver.com/sntu2010/221346631156</x:v>
      </x:c>
      <x:c r="P845" s="112" t="str">
        <x:v>아니오</x:v>
      </x:c>
      <x:c r="Q845" s="113" t="str">
        <x:v>수동 검토 필요</x:v>
      </x:c>
    </x:row>
    <x:row r="846">
      <x:c r="A846" s="100" t="n">
        <x:v>845</x:v>
      </x:c>
      <x:c r="B846" s="101" t="n">
        <x:v>43333</x:v>
      </x:c>
      <x:c r="C846" s="102" t="n">
        <x:v>2018</x:v>
      </x:c>
      <x:c r="D846" s="103" t="str">
        <x:v>ID-221343011489</x:v>
      </x:c>
      <x:c r="E846" s="112" t="str">
        <x:v>[공유] 포토샵 디지털 드로잉</x:v>
      </x:c>
      <x:c r="F846" s="112" t="str">
        <x:v>웹툰작법</x:v>
      </x:c>
      <x:c r="G846" s="112" t="str">
        <x:v>웹툰 참고</x:v>
      </x:c>
      <x:c r="H846" s="112" t="str">
        <x:v>작법·상업성</x:v>
      </x:c>
      <x:c r="I846" s="112" t="n">
        <x:v>1</x:v>
      </x:c>
      <x:c r="J846" s="112" t="str">
        <x:v>작법</x:v>
      </x:c>
      <x:c r="K846" s="112" t="str">
        <x:v>본인 작성/의견 추정</x:v>
      </x:c>
      <x:c r="L846" s="112" t="str">
        <x:v>낮음</x:v>
      </x:c>
      <x:c r="M846" s="112" t="str">
        <x:v>재게시 표시는 없으나 저자성 직접 증거 부족</x:v>
      </x:c>
      <x:c r="N846" s="116" t="str"/>
      <x:c r="O846" s="116" t="str">
        <x:v>https://m.blog.naver.com/sntu2010/221343011489</x:v>
      </x:c>
      <x:c r="P846" s="112" t="str">
        <x:v>아니오</x:v>
      </x:c>
      <x:c r="Q846" s="113" t="str">
        <x:v>수동 검토 필요</x:v>
      </x:c>
    </x:row>
    <x:row r="847">
      <x:c r="A847" s="100" t="n">
        <x:v>846</x:v>
      </x:c>
      <x:c r="B847" s="101" t="n">
        <x:v>43329</x:v>
      </x:c>
      <x:c r="C847" s="102" t="n">
        <x:v>2018</x:v>
      </x:c>
      <x:c r="D847" s="103" t="str">
        <x:v>ID-221340442557</x:v>
      </x:c>
      <x:c r="E847" s="112" t="str">
        <x:v>[펌]수작업 작화원고 그리기 팁 7개</x:v>
      </x:c>
      <x:c r="F847" s="112" t="str">
        <x:v>웹툰작법</x:v>
      </x:c>
      <x:c r="G847" s="112" t="str">
        <x:v>웹툰 참고</x:v>
      </x:c>
      <x:c r="H847" s="112" t="str">
        <x:v>캐릭터·전개</x:v>
      </x:c>
      <x:c r="I847" s="112" t="n">
        <x:v>1</x:v>
      </x:c>
      <x:c r="J847" s="112" t="str">
        <x:v>캐릭터</x:v>
      </x:c>
      <x:c r="K847" s="112" t="str">
        <x:v>재게시</x:v>
      </x:c>
      <x:c r="L847" s="112" t="str">
        <x:v>높음</x:v>
      </x:c>
      <x:c r="M847" s="112" t="str">
        <x:v>제목의 펌/퍼옴 표시</x:v>
      </x:c>
      <x:c r="N847" s="116" t="str">
        <x:v>http://aniline.co.kr/bbs/board.php?bo_table=Cartoon&amp;wr_id=20</x:v>
      </x:c>
      <x:c r="O847" s="116" t="str">
        <x:v>https://m.blog.naver.com/sntu2010/221340442557</x:v>
      </x:c>
      <x:c r="P847" s="112" t="str">
        <x:v>아니오</x:v>
      </x:c>
      <x:c r="Q847" s="113" t="str">
        <x:v>자동 분류·표본 검토 대상</x:v>
      </x:c>
    </x:row>
    <x:row r="848">
      <x:c r="A848" s="100" t="n">
        <x:v>847</x:v>
      </x:c>
      <x:c r="B848" s="101" t="n">
        <x:v>43329</x:v>
      </x:c>
      <x:c r="C848" s="102" t="n">
        <x:v>2018</x:v>
      </x:c>
      <x:c r="D848" s="103" t="str">
        <x:v>ID-221340441521</x:v>
      </x:c>
      <x:c r="E848" s="112" t="str">
        <x:v>[펌]흑백만화 원고 제작 과정</x:v>
      </x:c>
      <x:c r="F848" s="112" t="str">
        <x:v>웹툰작법</x:v>
      </x:c>
      <x:c r="G848" s="112" t="str">
        <x:v>웹툰 참고</x:v>
      </x:c>
      <x:c r="H848" s="112" t="str">
        <x:v>작법·상업성</x:v>
      </x:c>
      <x:c r="I848" s="112" t="n">
        <x:v>1</x:v>
      </x:c>
      <x:c r="J848" s="112" t="str">
        <x:v>작법</x:v>
      </x:c>
      <x:c r="K848" s="112" t="str">
        <x:v>재게시</x:v>
      </x:c>
      <x:c r="L848" s="112" t="str">
        <x:v>높음</x:v>
      </x:c>
      <x:c r="M848" s="112" t="str">
        <x:v>제목의 펌/퍼옴 표시</x:v>
      </x:c>
      <x:c r="N848" s="116" t="str">
        <x:v>http://aniline.co.kr/bbs/board.php?bo_table=Cartoon&amp;wr_id=14</x:v>
      </x:c>
      <x:c r="O848" s="116" t="str">
        <x:v>https://m.blog.naver.com/sntu2010/221340441521</x:v>
      </x:c>
      <x:c r="P848" s="112" t="str">
        <x:v>아니오</x:v>
      </x:c>
      <x:c r="Q848" s="113" t="str">
        <x:v>자동 분류·표본 검토 대상</x:v>
      </x:c>
    </x:row>
    <x:row r="849">
      <x:c r="A849" s="100" t="n">
        <x:v>848</x:v>
      </x:c>
      <x:c r="B849" s="101" t="n">
        <x:v>43329</x:v>
      </x:c>
      <x:c r="C849" s="102" t="n">
        <x:v>2018</x:v>
      </x:c>
      <x:c r="D849" s="103" t="str">
        <x:v>ID-221340440050</x:v>
      </x:c>
      <x:c r="E849" s="112" t="str">
        <x:v>[펌]만화 배경그리기_자연물_과정설명</x:v>
      </x:c>
      <x:c r="F849" s="112" t="str">
        <x:v>웹툰작법</x:v>
      </x:c>
      <x:c r="G849" s="112" t="str">
        <x:v>웹툰 참고</x:v>
      </x:c>
      <x:c r="H849" s="112" t="str">
        <x:v>작법·상업성</x:v>
      </x:c>
      <x:c r="I849" s="112" t="n">
        <x:v>1</x:v>
      </x:c>
      <x:c r="J849" s="112" t="str">
        <x:v>작법</x:v>
      </x:c>
      <x:c r="K849" s="112" t="str">
        <x:v>재게시</x:v>
      </x:c>
      <x:c r="L849" s="112" t="str">
        <x:v>높음</x:v>
      </x:c>
      <x:c r="M849" s="112" t="str">
        <x:v>제목의 펌/퍼옴 표시</x:v>
      </x:c>
      <x:c r="N849" s="116" t="str">
        <x:v>http://aniline.co.kr/bbs/board.php?bo_table=Cartoon&amp;wr_id=8</x:v>
      </x:c>
      <x:c r="O849" s="116" t="str">
        <x:v>https://m.blog.naver.com/sntu2010/221340440050</x:v>
      </x:c>
      <x:c r="P849" s="112" t="str">
        <x:v>아니오</x:v>
      </x:c>
      <x:c r="Q849" s="113" t="str">
        <x:v>자동 분류·표본 검토 대상</x:v>
      </x:c>
    </x:row>
    <x:row r="850">
      <x:c r="A850" s="100" t="n">
        <x:v>849</x:v>
      </x:c>
      <x:c r="B850" s="101" t="n">
        <x:v>43329</x:v>
      </x:c>
      <x:c r="C850" s="102" t="n">
        <x:v>2018</x:v>
      </x:c>
      <x:c r="D850" s="103" t="str">
        <x:v>ID-221340438481</x:v>
      </x:c>
      <x:c r="E850" s="112" t="str">
        <x:v>[펌]작화 투시도</x:v>
      </x:c>
      <x:c r="F850" s="112" t="str">
        <x:v>웹툰작법</x:v>
      </x:c>
      <x:c r="G850" s="112" t="str">
        <x:v>웹툰 참고</x:v>
      </x:c>
      <x:c r="H850" s="112" t="str">
        <x:v>작법·상업성</x:v>
      </x:c>
      <x:c r="I850" s="112" t="n">
        <x:v>1</x:v>
      </x:c>
      <x:c r="J850" s="112" t="str">
        <x:v>작법</x:v>
      </x:c>
      <x:c r="K850" s="112" t="str">
        <x:v>재게시</x:v>
      </x:c>
      <x:c r="L850" s="112" t="str">
        <x:v>높음</x:v>
      </x:c>
      <x:c r="M850" s="112" t="str">
        <x:v>제목의 펌/퍼옴 표시</x:v>
      </x:c>
      <x:c r="N850" s="116" t="str">
        <x:v>http://aniline.co.kr/bbs/board.php?bo_table=Cartoon&amp;wr_id=23</x:v>
      </x:c>
      <x:c r="O850" s="116" t="str">
        <x:v>https://m.blog.naver.com/sntu2010/221340438481</x:v>
      </x:c>
      <x:c r="P850" s="112" t="str">
        <x:v>아니오</x:v>
      </x:c>
      <x:c r="Q850" s="113" t="str">
        <x:v>자동 분류·표본 검토 대상</x:v>
      </x:c>
    </x:row>
    <x:row r="851">
      <x:c r="A851" s="100" t="n">
        <x:v>850</x:v>
      </x:c>
      <x:c r="B851" s="101" t="n">
        <x:v>43329</x:v>
      </x:c>
      <x:c r="C851" s="102" t="n">
        <x:v>2018</x:v>
      </x:c>
      <x:c r="D851" s="103" t="str">
        <x:v>ID-221340434708</x:v>
      </x:c>
      <x:c r="E851" s="112" t="str">
        <x:v>[펌]펜터치 펜선 굵기 조절 외 팁 4개</x:v>
      </x:c>
      <x:c r="F851" s="112" t="str">
        <x:v>웹툰작법</x:v>
      </x:c>
      <x:c r="G851" s="112" t="str">
        <x:v>웹툰 참고</x:v>
      </x:c>
      <x:c r="H851" s="112" t="str">
        <x:v>캐릭터·전개</x:v>
      </x:c>
      <x:c r="I851" s="112" t="n">
        <x:v>3</x:v>
      </x:c>
      <x:c r="J851" s="112" t="str">
        <x:v>캐릭터</x:v>
      </x:c>
      <x:c r="K851" s="112" t="str">
        <x:v>재게시</x:v>
      </x:c>
      <x:c r="L851" s="112" t="str">
        <x:v>높음</x:v>
      </x:c>
      <x:c r="M851" s="112" t="str">
        <x:v>제목의 펌/퍼옴 표시</x:v>
      </x:c>
      <x:c r="N851" s="116" t="str">
        <x:v>http://aniline.co.kr/bbs/board.php?bo_table=Cartoon&amp;wr_id=23</x:v>
      </x:c>
      <x:c r="O851" s="116" t="str">
        <x:v>https://m.blog.naver.com/sntu2010/221340434708</x:v>
      </x:c>
      <x:c r="P851" s="112" t="str">
        <x:v>아니오</x:v>
      </x:c>
      <x:c r="Q851" s="113" t="str">
        <x:v>자동 분류·표본 검토 대상</x:v>
      </x:c>
    </x:row>
    <x:row r="852">
      <x:c r="A852" s="100" t="n">
        <x:v>851</x:v>
      </x:c>
      <x:c r="B852" s="101" t="n">
        <x:v>43326</x:v>
      </x:c>
      <x:c r="C852" s="102" t="n">
        <x:v>2018</x:v>
      </x:c>
      <x:c r="D852" s="103" t="str">
        <x:v>ID-221338791359</x:v>
      </x:c>
      <x:c r="E852" s="112" t="str">
        <x:v>[펌]웹소설 초반부 쓸 때 신경써야하는 것들</x:v>
      </x:c>
      <x:c r="F852" s="112" t="str">
        <x:v>웹소작법</x:v>
      </x:c>
      <x:c r="G852" s="112" t="str">
        <x:v>웹소설 직접</x:v>
      </x:c>
      <x:c r="H852" s="112" t="str">
        <x:v>초반부/연독률</x:v>
      </x:c>
      <x:c r="I852" s="112" t="n">
        <x:v>20</x:v>
      </x:c>
      <x:c r="J852" s="112" t="str">
        <x:v>초반</x:v>
      </x:c>
      <x:c r="K852" s="112" t="str">
        <x:v>재게시</x:v>
      </x:c>
      <x:c r="L852" s="112" t="str">
        <x:v>높음</x:v>
      </x:c>
      <x:c r="M852" s="112" t="str">
        <x:v>제목의 펌/퍼옴 표시</x:v>
      </x:c>
      <x:c r="N852" s="116" t="str">
        <x:v>http://gall.dcinside.com/mgallery/board/lists/?id=tgijjdd&amp;page=1&amp;exception_mode=recommend)</x:v>
      </x:c>
      <x:c r="O852" s="116" t="str">
        <x:v>https://m.blog.naver.com/sntu2010/221338791359</x:v>
      </x:c>
      <x:c r="P852" s="112" t="str">
        <x:v>예</x:v>
      </x:c>
      <x:c r="Q852" s="113" t="str">
        <x:v>자동 분류·표본 검토 대상</x:v>
      </x:c>
    </x:row>
    <x:row r="853">
      <x:c r="A853" s="100" t="n">
        <x:v>852</x:v>
      </x:c>
      <x:c r="B853" s="101" t="n">
        <x:v>43320</x:v>
      </x:c>
      <x:c r="C853" s="102" t="n">
        <x:v>2018</x:v>
      </x:c>
      <x:c r="D853" s="103" t="str">
        <x:v>ID-221334939315</x:v>
      </x:c>
      <x:c r="E853" s="112" t="str">
        <x:v>웹소설 연재에 대한 궁금증 해소(8편)</x:v>
      </x:c>
      <x:c r="F853" s="112" t="str">
        <x:v>웹소생각</x:v>
      </x:c>
      <x:c r="G853" s="112" t="str">
        <x:v>웹소설 직접</x:v>
      </x:c>
      <x:c r="H853" s="112" t="str">
        <x:v>작법·상업성</x:v>
      </x:c>
      <x:c r="I853" s="112" t="n">
        <x:v>8</x:v>
      </x:c>
      <x:c r="J853" s="112" t="str">
        <x:v>장르, 설정, 클리셰, 재미</x:v>
      </x:c>
      <x:c r="K853" s="112" t="str">
        <x:v>본인 작성/의견 추정</x:v>
      </x:c>
      <x:c r="L853" s="112" t="str">
        <x:v>낮음</x:v>
      </x:c>
      <x:c r="M853" s="112" t="str">
        <x:v>재게시 표시는 없으나 저자성 직접 증거 부족</x:v>
      </x:c>
      <x:c r="N853" s="116" t="str"/>
      <x:c r="O853" s="116" t="str">
        <x:v>https://m.blog.naver.com/sntu2010/221334939315</x:v>
      </x:c>
      <x:c r="P853" s="112" t="str">
        <x:v>예</x:v>
      </x:c>
      <x:c r="Q853" s="113" t="str">
        <x:v>자동 분류·표본 검토 대상</x:v>
      </x:c>
    </x:row>
    <x:row r="854">
      <x:c r="A854" s="100" t="n">
        <x:v>853</x:v>
      </x:c>
      <x:c r="B854" s="101" t="n">
        <x:v>43297</x:v>
      </x:c>
      <x:c r="C854" s="102" t="n">
        <x:v>2018</x:v>
      </x:c>
      <x:c r="D854" s="103" t="str">
        <x:v>ID-221320446528</x:v>
      </x:c>
      <x:c r="E854" s="112" t="str">
        <x:v>웹소설 연재에 대한 궁금증 해소(7편)</x:v>
      </x:c>
      <x:c r="F854" s="112" t="str">
        <x:v>웹소생각</x:v>
      </x:c>
      <x:c r="G854" s="112" t="str">
        <x:v>웹소설 직접</x:v>
      </x:c>
      <x:c r="H854" s="112" t="str">
        <x:v>플랫폼·투고·계약</x:v>
      </x:c>
      <x:c r="I854" s="112" t="n">
        <x:v>5</x:v>
      </x:c>
      <x:c r="J854" s="112" t="str">
        <x:v>조아라, 문피아</x:v>
      </x:c>
      <x:c r="K854" s="112" t="str">
        <x:v>본인 작성/의견 추정</x:v>
      </x:c>
      <x:c r="L854" s="112" t="str">
        <x:v>낮음</x:v>
      </x:c>
      <x:c r="M854" s="112" t="str">
        <x:v>재게시 표시는 없으나 저자성 직접 증거 부족</x:v>
      </x:c>
      <x:c r="N854" s="116" t="str"/>
      <x:c r="O854" s="116" t="str">
        <x:v>https://m.blog.naver.com/sntu2010/221320446528</x:v>
      </x:c>
      <x:c r="P854" s="112" t="str">
        <x:v>아니오</x:v>
      </x:c>
      <x:c r="Q854" s="113" t="str">
        <x:v>자동 분류·표본 검토 대상</x:v>
      </x:c>
    </x:row>
    <x:row r="855">
      <x:c r="A855" s="100" t="n">
        <x:v>854</x:v>
      </x:c>
      <x:c r="B855" s="101" t="n">
        <x:v>43293</x:v>
      </x:c>
      <x:c r="C855" s="102" t="n">
        <x:v>2018</x:v>
      </x:c>
      <x:c r="D855" s="103" t="str">
        <x:v>ID-221317511179</x:v>
      </x:c>
      <x:c r="E855" s="112" t="str">
        <x:v>[펌]판타지 사전 - 중세시대 관리 등급과 호칭</x:v>
      </x:c>
      <x:c r="F855" s="112" t="str">
        <x:v>창작소재</x:v>
      </x:c>
      <x:c r="G855" s="112" t="str">
        <x:v>공통 창작소재</x:v>
      </x:c>
      <x:c r="H855" s="112" t="str">
        <x:v>작법·상업성</x:v>
      </x:c>
      <x:c r="I855" s="112" t="n">
        <x:v>1</x:v>
      </x:c>
      <x:c r="J855" s="112" t="str">
        <x:v>소재</x:v>
      </x:c>
      <x:c r="K855" s="112" t="str">
        <x:v>재게시</x:v>
      </x:c>
      <x:c r="L855" s="112" t="str">
        <x:v>높음</x:v>
      </x:c>
      <x:c r="M855" s="112" t="str">
        <x:v>제목의 펌/퍼옴 표시</x:v>
      </x:c>
      <x:c r="N855" s="116" t="str">
        <x:v>https://cafe.naver.com/asturiastale/886</x:v>
      </x:c>
      <x:c r="O855" s="116" t="str">
        <x:v>https://m.blog.naver.com/sntu2010/221317511179</x:v>
      </x:c>
      <x:c r="P855" s="112" t="str">
        <x:v>아니오</x:v>
      </x:c>
      <x:c r="Q855" s="113" t="str">
        <x:v>자동 분류·표본 검토 대상</x:v>
      </x:c>
    </x:row>
    <x:row r="856">
      <x:c r="A856" s="100" t="n">
        <x:v>855</x:v>
      </x:c>
      <x:c r="B856" s="101" t="n">
        <x:v>43283</x:v>
      </x:c>
      <x:c r="C856" s="102" t="n">
        <x:v>2018</x:v>
      </x:c>
      <x:c r="D856" s="103" t="str">
        <x:v>ID-221311060036</x:v>
      </x:c>
      <x:c r="E856" s="112" t="str">
        <x:v>웹소설을 쓸 때 사용하는 프로그램! 한컴 오피스와 스크리브너!</x:v>
      </x:c>
      <x:c r="F856" s="112" t="str">
        <x:v>웹소생각</x:v>
      </x:c>
      <x:c r="G856" s="112" t="str">
        <x:v>웹소설 직접</x:v>
      </x:c>
      <x:c r="H856" s="112" t="str">
        <x:v>플랫폼·투고·계약</x:v>
      </x:c>
      <x:c r="I856" s="112" t="n">
        <x:v>1</x:v>
      </x:c>
      <x:c r="J856" s="112" t="str">
        <x:v>조아라</x:v>
      </x:c>
      <x:c r="K856" s="112" t="str">
        <x:v>본인 작성/의견 추정</x:v>
      </x:c>
      <x:c r="L856" s="112" t="str">
        <x:v>낮음</x:v>
      </x:c>
      <x:c r="M856" s="112" t="str">
        <x:v>재게시 표시는 없으나 저자성 직접 증거 부족</x:v>
      </x:c>
      <x:c r="N856" s="116" t="str"/>
      <x:c r="O856" s="116" t="str">
        <x:v>https://m.blog.naver.com/sntu2010/221311060036</x:v>
      </x:c>
      <x:c r="P856" s="112" t="str">
        <x:v>아니오</x:v>
      </x:c>
      <x:c r="Q856" s="113" t="str">
        <x:v>수동 검토 필요</x:v>
      </x:c>
    </x:row>
    <x:row r="857">
      <x:c r="A857" s="100" t="n">
        <x:v>856</x:v>
      </x:c>
      <x:c r="B857" s="101" t="n">
        <x:v>43283</x:v>
      </x:c>
      <x:c r="C857" s="102" t="n">
        <x:v>2018</x:v>
      </x:c>
      <x:c r="D857" s="103" t="str">
        <x:v>ID-221310739634</x:v>
      </x:c>
      <x:c r="E857" s="112" t="str">
        <x:v>[펌]연독률 계산에 대한 글이 없길래 적어본다</x:v>
      </x:c>
      <x:c r="F857" s="112" t="str">
        <x:v>웹소작법</x:v>
      </x:c>
      <x:c r="G857" s="112" t="str">
        <x:v>웹소설 직접</x:v>
      </x:c>
      <x:c r="H857" s="112" t="str">
        <x:v>초반부/연독률</x:v>
      </x:c>
      <x:c r="I857" s="112" t="n">
        <x:v>25</x:v>
      </x:c>
      <x:c r="J857" s="112" t="str">
        <x:v>연독, 유입, 조회수</x:v>
      </x:c>
      <x:c r="K857" s="112" t="str">
        <x:v>재게시</x:v>
      </x:c>
      <x:c r="L857" s="112" t="str">
        <x:v>높음</x:v>
      </x:c>
      <x:c r="M857" s="112" t="str">
        <x:v>제목의 펌/퍼옴 표시</x:v>
      </x:c>
      <x:c r="N857" s="116" t="str">
        <x:v>http://gall.dcinside.com/mgallery/board/lists/?id=tgijjdd&amp;page=1&amp;exception_mode=recommend)</x:v>
      </x:c>
      <x:c r="O857" s="116" t="str">
        <x:v>https://m.blog.naver.com/sntu2010/221310739634</x:v>
      </x:c>
      <x:c r="P857" s="112" t="str">
        <x:v>예</x:v>
      </x:c>
      <x:c r="Q857" s="113" t="str">
        <x:v>자동 분류·표본 검토 대상</x:v>
      </x:c>
    </x:row>
    <x:row r="858">
      <x:c r="A858" s="100" t="n">
        <x:v>857</x:v>
      </x:c>
      <x:c r="B858" s="101" t="n">
        <x:v>43283</x:v>
      </x:c>
      <x:c r="C858" s="102" t="n">
        <x:v>2018</x:v>
      </x:c>
      <x:c r="D858" s="103" t="str">
        <x:v>ID-221310738142</x:v>
      </x:c>
      <x:c r="E858" s="112" t="str">
        <x:v>[펌]왜 회귀물이 유행할까?</x:v>
      </x:c>
      <x:c r="F858" s="112" t="str">
        <x:v>웹소작법</x:v>
      </x:c>
      <x:c r="G858" s="112" t="str">
        <x:v>웹소설 직접</x:v>
      </x:c>
      <x:c r="H858" s="112" t="str">
        <x:v>캐릭터·전개</x:v>
      </x:c>
      <x:c r="I858" s="112" t="n">
        <x:v>7</x:v>
      </x:c>
      <x:c r="J858" s="112" t="str">
        <x:v>주인공, 사건</x:v>
      </x:c>
      <x:c r="K858" s="112" t="str">
        <x:v>재게시</x:v>
      </x:c>
      <x:c r="L858" s="112" t="str">
        <x:v>높음</x:v>
      </x:c>
      <x:c r="M858" s="112" t="str">
        <x:v>제목의 펌/퍼옴 표시</x:v>
      </x:c>
      <x:c r="N858" s="116" t="str">
        <x:v>http://gall.dcinside.com/mgallery/board/lists/?id=tgijjdd&amp;page=1&amp;exception_mode=recommend)</x:v>
      </x:c>
      <x:c r="O858" s="116" t="str">
        <x:v>https://m.blog.naver.com/sntu2010/221310738142</x:v>
      </x:c>
      <x:c r="P858" s="112" t="str">
        <x:v>예</x:v>
      </x:c>
      <x:c r="Q858" s="113" t="str">
        <x:v>자동 분류·표본 검토 대상</x:v>
      </x:c>
    </x:row>
    <x:row r="859">
      <x:c r="A859" s="100" t="n">
        <x:v>858</x:v>
      </x:c>
      <x:c r="B859" s="101" t="n">
        <x:v>43282</x:v>
      </x:c>
      <x:c r="C859" s="102" t="n">
        <x:v>2018</x:v>
      </x:c>
      <x:c r="D859" s="103" t="str">
        <x:v>ID-221310736550</x:v>
      </x:c>
      <x:c r="E859" s="112" t="str">
        <x:v>[펌]웹 소설 쓰는 팁</x:v>
      </x:c>
      <x:c r="F859" s="112" t="str">
        <x:v>웹소작법</x:v>
      </x:c>
      <x:c r="G859" s="112" t="str">
        <x:v>웹소설 직접</x:v>
      </x:c>
      <x:c r="H859" s="112" t="str">
        <x:v>작법·상업성</x:v>
      </x:c>
      <x:c r="I859" s="112" t="n">
        <x:v>8</x:v>
      </x:c>
      <x:c r="J859" s="112" t="str">
        <x:v>소재, 제목, 독자, 작법</x:v>
      </x:c>
      <x:c r="K859" s="112" t="str">
        <x:v>재게시</x:v>
      </x:c>
      <x:c r="L859" s="112" t="str">
        <x:v>높음</x:v>
      </x:c>
      <x:c r="M859" s="112" t="str">
        <x:v>제목의 펌/퍼옴 표시</x:v>
      </x:c>
      <x:c r="N859" s="116" t="str">
        <x:v>http://gall.dcinside.com/mgallery/board/lists/?id=tgijjdd&amp;page=1&amp;exception_mode=recommend)</x:v>
      </x:c>
      <x:c r="O859" s="116" t="str">
        <x:v>https://m.blog.naver.com/sntu2010/221310736550</x:v>
      </x:c>
      <x:c r="P859" s="112" t="str">
        <x:v>예</x:v>
      </x:c>
      <x:c r="Q859" s="113" t="str">
        <x:v>자동 분류·표본 검토 대상</x:v>
      </x:c>
    </x:row>
    <x:row r="860">
      <x:c r="A860" s="100" t="n">
        <x:v>859</x:v>
      </x:c>
      <x:c r="B860" s="101" t="n">
        <x:v>43282</x:v>
      </x:c>
      <x:c r="C860" s="102" t="n">
        <x:v>2018</x:v>
      </x:c>
      <x:c r="D860" s="103" t="str">
        <x:v>ID-221310735475</x:v>
      </x:c>
      <x:c r="E860" s="112" t="str">
        <x:v>[펌]스토리 진행 구성- 스테이지형과 오픈월드형</x:v>
      </x:c>
      <x:c r="F860" s="112" t="str">
        <x:v>웹소작법</x:v>
      </x:c>
      <x:c r="G860" s="112" t="str">
        <x:v>웹소설 직접</x:v>
      </x:c>
      <x:c r="H860" s="112" t="str">
        <x:v>캐릭터·전개</x:v>
      </x:c>
      <x:c r="I860" s="112" t="n">
        <x:v>8</x:v>
      </x:c>
      <x:c r="J860" s="112" t="str">
        <x:v>주인공, 사건</x:v>
      </x:c>
      <x:c r="K860" s="112" t="str">
        <x:v>재게시</x:v>
      </x:c>
      <x:c r="L860" s="112" t="str">
        <x:v>높음</x:v>
      </x:c>
      <x:c r="M860" s="112" t="str">
        <x:v>제목의 펌/퍼옴 표시</x:v>
      </x:c>
      <x:c r="N860" s="116" t="str">
        <x:v>http://gall.dcinside.com/mgallery/board/lists/?id=tgijjdd&amp;page=1&amp;exception_mode=recommend)</x:v>
      </x:c>
      <x:c r="O860" s="116" t="str">
        <x:v>https://m.blog.naver.com/sntu2010/221310735475</x:v>
      </x:c>
      <x:c r="P860" s="112" t="str">
        <x:v>예</x:v>
      </x:c>
      <x:c r="Q860" s="113" t="str">
        <x:v>자동 분류·표본 검토 대상</x:v>
      </x:c>
    </x:row>
    <x:row r="861">
      <x:c r="A861" s="100" t="n">
        <x:v>860</x:v>
      </x:c>
      <x:c r="B861" s="101" t="n">
        <x:v>43282</x:v>
      </x:c>
      <x:c r="C861" s="102" t="n">
        <x:v>2018</x:v>
      </x:c>
      <x:c r="D861" s="103" t="str">
        <x:v>ID-221310732932</x:v>
      </x:c>
      <x:c r="E861" s="112" t="str">
        <x:v>[펌]문피아 연재하면서 느낀점과 팁들</x:v>
      </x:c>
      <x:c r="F861" s="112" t="str">
        <x:v>웹소작법</x:v>
      </x:c>
      <x:c r="G861" s="112" t="str">
        <x:v>웹소설 직접</x:v>
      </x:c>
      <x:c r="H861" s="112" t="str">
        <x:v>플랫폼·투고·계약</x:v>
      </x:c>
      <x:c r="I861" s="112" t="n">
        <x:v>28</x:v>
      </x:c>
      <x:c r="J861" s="112" t="str">
        <x:v>문피아, 공모전, 연재처, 조아라, 플랫폼, 네이버, 카카오, 매니지</x:v>
      </x:c>
      <x:c r="K861" s="112" t="str">
        <x:v>재게시</x:v>
      </x:c>
      <x:c r="L861" s="112" t="str">
        <x:v>높음</x:v>
      </x:c>
      <x:c r="M861" s="112" t="str">
        <x:v>제목의 펌/퍼옴 표시</x:v>
      </x:c>
      <x:c r="N861" s="116" t="str">
        <x:v>http://gall.dcinside.com/mgallery/board/lists/?id=tgijjdd&amp;page=1&amp;exception_mode=recommend)</x:v>
      </x:c>
      <x:c r="O861" s="116" t="str">
        <x:v>https://m.blog.naver.com/sntu2010/221310732932</x:v>
      </x:c>
      <x:c r="P861" s="112" t="str">
        <x:v>예</x:v>
      </x:c>
      <x:c r="Q861" s="113" t="str">
        <x:v>자동 분류·표본 검토 대상</x:v>
      </x:c>
    </x:row>
    <x:row r="862">
      <x:c r="A862" s="100" t="n">
        <x:v>861</x:v>
      </x:c>
      <x:c r="B862" s="101" t="n">
        <x:v>43282</x:v>
      </x:c>
      <x:c r="C862" s="102" t="n">
        <x:v>2018</x:v>
      </x:c>
      <x:c r="D862" s="103" t="str">
        <x:v>ID-221310732258</x:v>
      </x:c>
      <x:c r="E862" s="112" t="str">
        <x:v>[펌]선호작과 연독률에 집착하지 말 것</x:v>
      </x:c>
      <x:c r="F862" s="112" t="str">
        <x:v>웹소작법</x:v>
      </x:c>
      <x:c r="G862" s="112" t="str">
        <x:v>웹소설 직접</x:v>
      </x:c>
      <x:c r="H862" s="112" t="str">
        <x:v>초반부/연독률</x:v>
      </x:c>
      <x:c r="I862" s="112" t="n">
        <x:v>26</x:v>
      </x:c>
      <x:c r="J862" s="112" t="str">
        <x:v>연독, 조회수, 선작</x:v>
      </x:c>
      <x:c r="K862" s="112" t="str">
        <x:v>재게시</x:v>
      </x:c>
      <x:c r="L862" s="112" t="str">
        <x:v>높음</x:v>
      </x:c>
      <x:c r="M862" s="112" t="str">
        <x:v>제목의 펌/퍼옴 표시</x:v>
      </x:c>
      <x:c r="N862" s="116" t="str">
        <x:v>http://gall.dcinside.com/mgallery/board/lists/?id=tgijjdd&amp;page=1&amp;exception_mode=recommend)</x:v>
      </x:c>
      <x:c r="O862" s="116" t="str">
        <x:v>https://m.blog.naver.com/sntu2010/221310732258</x:v>
      </x:c>
      <x:c r="P862" s="112" t="str">
        <x:v>예</x:v>
      </x:c>
      <x:c r="Q862" s="113" t="str">
        <x:v>자동 분류·표본 검토 대상</x:v>
      </x:c>
    </x:row>
    <x:row r="863">
      <x:c r="A863" s="100" t="n">
        <x:v>862</x:v>
      </x:c>
      <x:c r="B863" s="101" t="n">
        <x:v>43282</x:v>
      </x:c>
      <x:c r="C863" s="102" t="n">
        <x:v>2018</x:v>
      </x:c>
      <x:c r="D863" s="103" t="str">
        <x:v>ID-221310731294</x:v>
      </x:c>
      <x:c r="E863" s="112" t="str">
        <x:v>[펌]웹소설 쓸 때 개인적으로 중요시하는 것들임</x:v>
      </x:c>
      <x:c r="F863" s="112" t="str">
        <x:v>웹소작법</x:v>
      </x:c>
      <x:c r="G863" s="112" t="str">
        <x:v>웹소설 직접</x:v>
      </x:c>
      <x:c r="H863" s="112" t="str">
        <x:v>작법·상업성</x:v>
      </x:c>
      <x:c r="I863" s="112" t="n">
        <x:v>8</x:v>
      </x:c>
      <x:c r="J863" s="112" t="str">
        <x:v>문장, 트렌드, 재미, 작법</x:v>
      </x:c>
      <x:c r="K863" s="112" t="str">
        <x:v>재게시</x:v>
      </x:c>
      <x:c r="L863" s="112" t="str">
        <x:v>높음</x:v>
      </x:c>
      <x:c r="M863" s="112" t="str">
        <x:v>제목의 펌/퍼옴 표시</x:v>
      </x:c>
      <x:c r="N863" s="116" t="str">
        <x:v>http://gall.dcinside.com/mgallery/board/lists/?id=tgijjdd&amp;page=1&amp;exception_mode=recommend)</x:v>
      </x:c>
      <x:c r="O863" s="116" t="str">
        <x:v>https://m.blog.naver.com/sntu2010/221310731294</x:v>
      </x:c>
      <x:c r="P863" s="112" t="str">
        <x:v>예</x:v>
      </x:c>
      <x:c r="Q863" s="113" t="str">
        <x:v>자동 분류·표본 검토 대상</x:v>
      </x:c>
    </x:row>
    <x:row r="864">
      <x:c r="A864" s="100" t="n">
        <x:v>863</x:v>
      </x:c>
      <x:c r="B864" s="101" t="n">
        <x:v>43282</x:v>
      </x:c>
      <x:c r="C864" s="102" t="n">
        <x:v>2018</x:v>
      </x:c>
      <x:c r="D864" s="103" t="str">
        <x:v>ID-221310730600</x:v>
      </x:c>
      <x:c r="E864" s="112" t="str">
        <x:v>[펌]팔리는 글을 쓰고 싶은 사람을 위하여(목마 작가님)</x:v>
      </x:c>
      <x:c r="F864" s="112" t="str">
        <x:v>웹소작법</x:v>
      </x:c>
      <x:c r="G864" s="112" t="str">
        <x:v>웹소설 직접</x:v>
      </x:c>
      <x:c r="H864" s="112" t="str">
        <x:v>플랫폼·투고·계약</x:v>
      </x:c>
      <x:c r="I864" s="112" t="n">
        <x:v>8</x:v>
      </x:c>
      <x:c r="J864" s="112" t="str">
        <x:v>문피아, 조아라, 연재처</x:v>
      </x:c>
      <x:c r="K864" s="112" t="str">
        <x:v>재게시</x:v>
      </x:c>
      <x:c r="L864" s="112" t="str">
        <x:v>높음</x:v>
      </x:c>
      <x:c r="M864" s="112" t="str">
        <x:v>제목의 펌/퍼옴 표시</x:v>
      </x:c>
      <x:c r="N864" s="116" t="str">
        <x:v>http://gall.dcinside.com/mgallery/board/view?id=munpia&amp;no=17</x:v>
      </x:c>
      <x:c r="O864" s="116" t="str">
        <x:v>https://m.blog.naver.com/sntu2010/221310730600</x:v>
      </x:c>
      <x:c r="P864" s="112" t="str">
        <x:v>예</x:v>
      </x:c>
      <x:c r="Q864" s="113" t="str">
        <x:v>자동 분류·표본 검토 대상</x:v>
      </x:c>
    </x:row>
    <x:row r="865">
      <x:c r="A865" s="100" t="n">
        <x:v>864</x:v>
      </x:c>
      <x:c r="B865" s="101" t="n">
        <x:v>43282</x:v>
      </x:c>
      <x:c r="C865" s="102" t="n">
        <x:v>2018</x:v>
      </x:c>
      <x:c r="D865" s="103" t="str">
        <x:v>ID-221310729438</x:v>
      </x:c>
      <x:c r="E865" s="112" t="str">
        <x:v>[펌]카카오 독점 연재에 관한 소박한 TIP</x:v>
      </x:c>
      <x:c r="F865" s="112" t="str">
        <x:v>웹소작법</x:v>
      </x:c>
      <x:c r="G865" s="112" t="str">
        <x:v>웹소설 직접</x:v>
      </x:c>
      <x:c r="H865" s="112" t="str">
        <x:v>플랫폼·투고·계약</x:v>
      </x:c>
      <x:c r="I865" s="112" t="n">
        <x:v>44</x:v>
      </x:c>
      <x:c r="J865" s="112" t="str">
        <x:v>카카오, 독점, 매니지, 플랫폼</x:v>
      </x:c>
      <x:c r="K865" s="112" t="str">
        <x:v>재게시</x:v>
      </x:c>
      <x:c r="L865" s="112" t="str">
        <x:v>높음</x:v>
      </x:c>
      <x:c r="M865" s="112" t="str">
        <x:v>제목의 펌/퍼옴 표시</x:v>
      </x:c>
      <x:c r="N865" s="116" t="str">
        <x:v>http://gall.dcinside.com/mgallery/board/lists/?id=tgijjdd&amp;page=1&amp;exception_mode=recommend)</x:v>
      </x:c>
      <x:c r="O865" s="116" t="str">
        <x:v>https://m.blog.naver.com/sntu2010/221310729438</x:v>
      </x:c>
      <x:c r="P865" s="112" t="str">
        <x:v>예</x:v>
      </x:c>
      <x:c r="Q865" s="113" t="str">
        <x:v>자동 분류·표본 검토 대상</x:v>
      </x:c>
    </x:row>
    <x:row r="866">
      <x:c r="A866" s="100" t="n">
        <x:v>865</x:v>
      </x:c>
      <x:c r="B866" s="101" t="n">
        <x:v>43282</x:v>
      </x:c>
      <x:c r="C866" s="102" t="n">
        <x:v>2018</x:v>
      </x:c>
      <x:c r="D866" s="103" t="str">
        <x:v>ID-221310728130</x:v>
      </x:c>
      <x:c r="E866" s="112" t="str">
        <x:v>[펌]카카오와 문피아 성향과 장르에 대해</x:v>
      </x:c>
      <x:c r="F866" s="112" t="str">
        <x:v>웹소작법</x:v>
      </x:c>
      <x:c r="G866" s="112" t="str">
        <x:v>웹소설 직접</x:v>
      </x:c>
      <x:c r="H866" s="112" t="str">
        <x:v>플랫폼·투고·계약</x:v>
      </x:c>
      <x:c r="I866" s="112" t="n">
        <x:v>48</x:v>
      </x:c>
      <x:c r="J866" s="112" t="str">
        <x:v>카카오, 문피아, 조아라, 네이버, 플랫폼, 연재처, 독점</x:v>
      </x:c>
      <x:c r="K866" s="112" t="str">
        <x:v>재게시</x:v>
      </x:c>
      <x:c r="L866" s="112" t="str">
        <x:v>높음</x:v>
      </x:c>
      <x:c r="M866" s="112" t="str">
        <x:v>제목의 펌/퍼옴 표시</x:v>
      </x:c>
      <x:c r="N866" s="116" t="str">
        <x:v>http://gall.dcinside.com/mgallery/board/lists/?id=tgijjdd&amp;page=1&amp;exception_mode=recommend)</x:v>
      </x:c>
      <x:c r="O866" s="116" t="str">
        <x:v>https://m.blog.naver.com/sntu2010/221310728130</x:v>
      </x:c>
      <x:c r="P866" s="112" t="str">
        <x:v>예</x:v>
      </x:c>
      <x:c r="Q866" s="113" t="str">
        <x:v>자동 분류·표본 검토 대상</x:v>
      </x:c>
    </x:row>
    <x:row r="867">
      <x:c r="A867" s="100" t="n">
        <x:v>866</x:v>
      </x:c>
      <x:c r="B867" s="101" t="n">
        <x:v>43282</x:v>
      </x:c>
      <x:c r="C867" s="102" t="n">
        <x:v>2018</x:v>
      </x:c>
      <x:c r="D867" s="103" t="str">
        <x:v>ID-221310237408</x:v>
      </x:c>
      <x:c r="E867" s="112" t="str">
        <x:v>전업 웹소설 작가가 공개하는 월수입과 수입구조!(하편)</x:v>
      </x:c>
      <x:c r="F867" s="112" t="str">
        <x:v>웹소생각</x:v>
      </x:c>
      <x:c r="G867" s="112" t="str">
        <x:v>웹소설 직접</x:v>
      </x:c>
      <x:c r="H867" s="112" t="str">
        <x:v>수익·운영</x:v>
      </x:c>
      <x:c r="I867" s="112" t="n">
        <x:v>63</x:v>
      </x:c>
      <x:c r="J867" s="112" t="str">
        <x:v>전업, 수입</x:v>
      </x:c>
      <x:c r="K867" s="112" t="str">
        <x:v>외부자료 소개/재가공</x:v>
      </x:c>
      <x:c r="L867" s="112" t="str">
        <x:v>중간</x:v>
      </x:c>
      <x:c r="M867" s="112" t="str">
        <x:v>본문 앞부분의 외부 출처 URL</x:v>
      </x:c>
      <x:c r="N867" s="116" t="str">
        <x:v>https://blog.naver.com/sntu2010/221310212977)</x:v>
      </x:c>
      <x:c r="O867" s="116" t="str">
        <x:v>https://m.blog.naver.com/sntu2010/221310237408</x:v>
      </x:c>
      <x:c r="P867" s="112" t="str">
        <x:v>예</x:v>
      </x:c>
      <x:c r="Q867" s="113" t="str">
        <x:v>자동 분류·표본 검토 대상</x:v>
      </x:c>
    </x:row>
    <x:row r="868">
      <x:c r="A868" s="100" t="n">
        <x:v>867</x:v>
      </x:c>
      <x:c r="B868" s="101" t="n">
        <x:v>43282</x:v>
      </x:c>
      <x:c r="C868" s="102" t="n">
        <x:v>2018</x:v>
      </x:c>
      <x:c r="D868" s="103" t="str">
        <x:v>ID-221310212977</x:v>
      </x:c>
      <x:c r="E868" s="112" t="str">
        <x:v>전업 웹소설 작가가 공개하는 월수입과 수입구조!(상편)</x:v>
      </x:c>
      <x:c r="F868" s="112" t="str">
        <x:v>웹소생각</x:v>
      </x:c>
      <x:c r="G868" s="112" t="str">
        <x:v>웹소설 직접</x:v>
      </x:c>
      <x:c r="H868" s="112" t="str">
        <x:v>수익·운영</x:v>
      </x:c>
      <x:c r="I868" s="112" t="n">
        <x:v>66</x:v>
      </x:c>
      <x:c r="J868" s="112" t="str">
        <x:v>전업, 수입, 정산</x:v>
      </x:c>
      <x:c r="K868" s="112" t="str">
        <x:v>본인 경험담 추정</x:v>
      </x:c>
      <x:c r="L868" s="112" t="str">
        <x:v>중간</x:v>
      </x:c>
      <x:c r="M868" s="112" t="str">
        <x:v>1인칭 경험·작품·계약 표현</x:v>
      </x:c>
      <x:c r="N868" s="116" t="str"/>
      <x:c r="O868" s="116" t="str">
        <x:v>https://m.blog.naver.com/sntu2010/221310212977</x:v>
      </x:c>
      <x:c r="P868" s="112" t="str">
        <x:v>예</x:v>
      </x:c>
      <x:c r="Q868" s="113" t="str">
        <x:v>자동 분류·표본 검토 대상</x:v>
      </x:c>
    </x:row>
    <x:row r="869">
      <x:c r="A869" s="100" t="n">
        <x:v>868</x:v>
      </x:c>
      <x:c r="B869" s="101" t="n">
        <x:v>43280</x:v>
      </x:c>
      <x:c r="C869" s="102" t="n">
        <x:v>2018</x:v>
      </x:c>
      <x:c r="D869" s="103" t="str">
        <x:v>ID-221309142479</x:v>
      </x:c>
      <x:c r="E869" s="112" t="str">
        <x:v>웹소설 연재에 대한 궁금증 해소(6편)</x:v>
      </x:c>
      <x:c r="F869" s="112" t="str">
        <x:v>웹소생각</x:v>
      </x:c>
      <x:c r="G869" s="112" t="str">
        <x:v>웹소설 직접</x:v>
      </x:c>
      <x:c r="H869" s="112" t="str">
        <x:v>플랫폼·투고·계약</x:v>
      </x:c>
      <x:c r="I869" s="112" t="n">
        <x:v>8</x:v>
      </x:c>
      <x:c r="J869" s="112" t="str">
        <x:v>조아라, 문피아, 플랫폼, 독점</x:v>
      </x:c>
      <x:c r="K869" s="112" t="str">
        <x:v>본인 작성/의견 추정</x:v>
      </x:c>
      <x:c r="L869" s="112" t="str">
        <x:v>낮음</x:v>
      </x:c>
      <x:c r="M869" s="112" t="str">
        <x:v>재게시 표시는 없으나 저자성 직접 증거 부족</x:v>
      </x:c>
      <x:c r="N869" s="116" t="str"/>
      <x:c r="O869" s="116" t="str">
        <x:v>https://m.blog.naver.com/sntu2010/221309142479</x:v>
      </x:c>
      <x:c r="P869" s="112" t="str">
        <x:v>예</x:v>
      </x:c>
      <x:c r="Q869" s="113" t="str">
        <x:v>자동 분류·표본 검토 대상</x:v>
      </x:c>
    </x:row>
    <x:row r="870">
      <x:c r="A870" s="100" t="n">
        <x:v>869</x:v>
      </x:c>
      <x:c r="B870" s="101" t="n">
        <x:v>43255</x:v>
      </x:c>
      <x:c r="C870" s="102" t="n">
        <x:v>2018</x:v>
      </x:c>
      <x:c r="D870" s="103" t="str">
        <x:v>ID-221291302194</x:v>
      </x:c>
      <x:c r="E870" s="112" t="str">
        <x:v>웹소설 연재에 대한 궁금증 해소(5편)</x:v>
      </x:c>
      <x:c r="F870" s="112" t="str">
        <x:v>웹소생각</x:v>
      </x:c>
      <x:c r="G870" s="112" t="str">
        <x:v>웹소설 직접</x:v>
      </x:c>
      <x:c r="H870" s="112" t="str">
        <x:v>플랫폼·투고·계약</x:v>
      </x:c>
      <x:c r="I870" s="112" t="n">
        <x:v>5</x:v>
      </x:c>
      <x:c r="J870" s="112" t="str">
        <x:v>조아라, 문피아, 네이버</x:v>
      </x:c>
      <x:c r="K870" s="112" t="str">
        <x:v>본인 작성/의견 추정</x:v>
      </x:c>
      <x:c r="L870" s="112" t="str">
        <x:v>낮음</x:v>
      </x:c>
      <x:c r="M870" s="112" t="str">
        <x:v>재게시 표시는 없으나 저자성 직접 증거 부족</x:v>
      </x:c>
      <x:c r="N870" s="116" t="str"/>
      <x:c r="O870" s="116" t="str">
        <x:v>https://m.blog.naver.com/sntu2010/221291302194</x:v>
      </x:c>
      <x:c r="P870" s="112" t="str">
        <x:v>아니오</x:v>
      </x:c>
      <x:c r="Q870" s="113" t="str">
        <x:v>자동 분류·표본 검토 대상</x:v>
      </x:c>
    </x:row>
    <x:row r="871">
      <x:c r="A871" s="100" t="n">
        <x:v>870</x:v>
      </x:c>
      <x:c r="B871" s="101" t="n">
        <x:v>43253</x:v>
      </x:c>
      <x:c r="C871" s="102" t="n">
        <x:v>2018</x:v>
      </x:c>
      <x:c r="D871" s="103" t="str">
        <x:v>ID-221290062788</x:v>
      </x:c>
      <x:c r="E871" s="112" t="str">
        <x:v>[공유] 그림 못그리는 사람 구제하는 만화</x:v>
      </x:c>
      <x:c r="F871" s="112" t="str">
        <x:v>웹툰작법</x:v>
      </x:c>
      <x:c r="G871" s="112" t="str">
        <x:v>웹툰 참고</x:v>
      </x:c>
      <x:c r="H871" s="112" t="str">
        <x:v>작법·상업성</x:v>
      </x:c>
      <x:c r="I871" s="112" t="n">
        <x:v>1</x:v>
      </x:c>
      <x:c r="J871" s="112" t="str">
        <x:v>작법</x:v>
      </x:c>
      <x:c r="K871" s="112" t="str">
        <x:v>본인 작성/의견 추정</x:v>
      </x:c>
      <x:c r="L871" s="112" t="str">
        <x:v>낮음</x:v>
      </x:c>
      <x:c r="M871" s="112" t="str">
        <x:v>재게시 표시는 없으나 저자성 직접 증거 부족</x:v>
      </x:c>
      <x:c r="N871" s="116" t="str"/>
      <x:c r="O871" s="116" t="str">
        <x:v>https://m.blog.naver.com/sntu2010/221290062788</x:v>
      </x:c>
      <x:c r="P871" s="112" t="str">
        <x:v>아니오</x:v>
      </x:c>
      <x:c r="Q871" s="113" t="str">
        <x:v>수동 검토 필요</x:v>
      </x:c>
    </x:row>
    <x:row r="872">
      <x:c r="A872" s="100" t="n">
        <x:v>871</x:v>
      </x:c>
      <x:c r="B872" s="101" t="n">
        <x:v>43249</x:v>
      </x:c>
      <x:c r="C872" s="102" t="n">
        <x:v>2018</x:v>
      </x:c>
      <x:c r="D872" s="103" t="str">
        <x:v>ID-221286899534</x:v>
      </x:c>
      <x:c r="E872" s="112" t="str">
        <x:v>웹소설 연재에 대한 궁금증 해소(4편)</x:v>
      </x:c>
      <x:c r="F872" s="112" t="str">
        <x:v>웹소생각</x:v>
      </x:c>
      <x:c r="G872" s="112" t="str">
        <x:v>웹소설 직접</x:v>
      </x:c>
      <x:c r="H872" s="112" t="str">
        <x:v>작법·상업성</x:v>
      </x:c>
      <x:c r="I872" s="112" t="n">
        <x:v>7</x:v>
      </x:c>
      <x:c r="J872" s="112" t="str">
        <x:v>소재, 장르, 독자</x:v>
      </x:c>
      <x:c r="K872" s="112" t="str">
        <x:v>본인 작성/의견 추정</x:v>
      </x:c>
      <x:c r="L872" s="112" t="str">
        <x:v>낮음</x:v>
      </x:c>
      <x:c r="M872" s="112" t="str">
        <x:v>재게시 표시는 없으나 저자성 직접 증거 부족</x:v>
      </x:c>
      <x:c r="N872" s="116" t="str"/>
      <x:c r="O872" s="116" t="str">
        <x:v>https://m.blog.naver.com/sntu2010/221286899534</x:v>
      </x:c>
      <x:c r="P872" s="112" t="str">
        <x:v>예</x:v>
      </x:c>
      <x:c r="Q872" s="113" t="str">
        <x:v>자동 분류·표본 검토 대상</x:v>
      </x:c>
    </x:row>
    <x:row r="873">
      <x:c r="A873" s="100" t="n">
        <x:v>872</x:v>
      </x:c>
      <x:c r="B873" s="101" t="n">
        <x:v>43243</x:v>
      </x:c>
      <x:c r="C873" s="102" t="n">
        <x:v>2018</x:v>
      </x:c>
      <x:c r="D873" s="103" t="str">
        <x:v>ID-221282359508</x:v>
      </x:c>
      <x:c r="E873" s="112" t="str">
        <x:v>[펌]무협 사전 - 가문 문파 클리셰</x:v>
      </x:c>
      <x:c r="F873" s="112" t="str">
        <x:v>창작소재</x:v>
      </x:c>
      <x:c r="G873" s="112" t="str">
        <x:v>공통 창작소재</x:v>
      </x:c>
      <x:c r="H873" s="112" t="str">
        <x:v>작법·상업성</x:v>
      </x:c>
      <x:c r="I873" s="112" t="n">
        <x:v>21</x:v>
      </x:c>
      <x:c r="J873" s="112" t="str">
        <x:v>클리셰, 소재</x:v>
      </x:c>
      <x:c r="K873" s="112" t="str">
        <x:v>재게시</x:v>
      </x:c>
      <x:c r="L873" s="112" t="str">
        <x:v>높음</x:v>
      </x:c>
      <x:c r="M873" s="112" t="str">
        <x:v>제목의 펌/퍼옴 표시</x:v>
      </x:c>
      <x:c r="N873" s="116" t="str"/>
      <x:c r="O873" s="116" t="str">
        <x:v>https://m.blog.naver.com/sntu2010/221282359508</x:v>
      </x:c>
      <x:c r="P873" s="112" t="str">
        <x:v>아니오</x:v>
      </x:c>
      <x:c r="Q873" s="113" t="str">
        <x:v>자동 분류·표본 검토 대상</x:v>
      </x:c>
    </x:row>
    <x:row r="874">
      <x:c r="A874" s="100" t="n">
        <x:v>873</x:v>
      </x:c>
      <x:c r="B874" s="101" t="n">
        <x:v>43219</x:v>
      </x:c>
      <x:c r="C874" s="102" t="n">
        <x:v>2018</x:v>
      </x:c>
      <x:c r="D874" s="103" t="str">
        <x:v>ID-221264084845</x:v>
      </x:c>
      <x:c r="E874" s="112" t="str">
        <x:v>출판사 관계자들이 밝히는 웹소설 10계명</x:v>
      </x:c>
      <x:c r="F874" s="112" t="str">
        <x:v>웹소생각</x:v>
      </x:c>
      <x:c r="G874" s="112" t="str">
        <x:v>웹소설 직접</x:v>
      </x:c>
      <x:c r="H874" s="112" t="str">
        <x:v>캐릭터·전개</x:v>
      </x:c>
      <x:c r="I874" s="112" t="n">
        <x:v>23</x:v>
      </x:c>
      <x:c r="J874" s="112" t="str">
        <x:v>관계, 인물, 대사, 조연</x:v>
      </x:c>
      <x:c r="K874" s="112" t="str">
        <x:v>본인 작성/의견 추정</x:v>
      </x:c>
      <x:c r="L874" s="112" t="str">
        <x:v>낮음</x:v>
      </x:c>
      <x:c r="M874" s="112" t="str">
        <x:v>재게시 표시는 없으나 저자성 직접 증거 부족</x:v>
      </x:c>
      <x:c r="N874" s="116" t="str"/>
      <x:c r="O874" s="116" t="str">
        <x:v>https://m.blog.naver.com/sntu2010/221264084845</x:v>
      </x:c>
      <x:c r="P874" s="112" t="str">
        <x:v>예</x:v>
      </x:c>
      <x:c r="Q874" s="113" t="str">
        <x:v>자동 분류·표본 검토 대상</x:v>
      </x:c>
    </x:row>
    <x:row r="875">
      <x:c r="A875" s="100" t="n">
        <x:v>874</x:v>
      </x:c>
      <x:c r="B875" s="101" t="n">
        <x:v>43215</x:v>
      </x:c>
      <x:c r="C875" s="102" t="n">
        <x:v>2018</x:v>
      </x:c>
      <x:c r="D875" s="103" t="str">
        <x:v>ID-221261398271</x:v>
      </x:c>
      <x:c r="E875" s="112" t="str">
        <x:v>소설을 쓰다가 스토리가 막히면?</x:v>
      </x:c>
      <x:c r="F875" s="112" t="str">
        <x:v>웹소생각</x:v>
      </x:c>
      <x:c r="G875" s="112" t="str">
        <x:v>웹소설 직접</x:v>
      </x:c>
      <x:c r="H875" s="112" t="str">
        <x:v>캐릭터·전개</x:v>
      </x:c>
      <x:c r="I875" s="112" t="n">
        <x:v>5</x:v>
      </x:c>
      <x:c r="J875" s="112" t="str">
        <x:v>주인공, 캐릭터</x:v>
      </x:c>
      <x:c r="K875" s="112" t="str">
        <x:v>본인 작성/의견 추정</x:v>
      </x:c>
      <x:c r="L875" s="112" t="str">
        <x:v>낮음</x:v>
      </x:c>
      <x:c r="M875" s="112" t="str">
        <x:v>재게시 표시는 없으나 저자성 직접 증거 부족</x:v>
      </x:c>
      <x:c r="N875" s="116" t="str"/>
      <x:c r="O875" s="116" t="str">
        <x:v>https://m.blog.naver.com/sntu2010/221261398271</x:v>
      </x:c>
      <x:c r="P875" s="112" t="str">
        <x:v>아니오</x:v>
      </x:c>
      <x:c r="Q875" s="113" t="str">
        <x:v>자동 분류·표본 검토 대상</x:v>
      </x:c>
    </x:row>
    <x:row r="876">
      <x:c r="A876" s="100" t="n">
        <x:v>875</x:v>
      </x:c>
      <x:c r="B876" s="101" t="n">
        <x:v>43208</x:v>
      </x:c>
      <x:c r="C876" s="102" t="n">
        <x:v>2018</x:v>
      </x:c>
      <x:c r="D876" s="103" t="str">
        <x:v>ID-221255907061</x:v>
      </x:c>
      <x:c r="E876" s="112" t="str">
        <x:v>웹소설 연재에 대한 궁금증 해소(3편)</x:v>
      </x:c>
      <x:c r="F876" s="112" t="str">
        <x:v>웹소생각</x:v>
      </x:c>
      <x:c r="G876" s="112" t="str">
        <x:v>웹소설 직접</x:v>
      </x:c>
      <x:c r="H876" s="112" t="str">
        <x:v>작법·상업성</x:v>
      </x:c>
      <x:c r="I876" s="112" t="n">
        <x:v>3</x:v>
      </x:c>
      <x:c r="J876" s="112" t="str">
        <x:v>소재, 재미</x:v>
      </x:c>
      <x:c r="K876" s="112" t="str">
        <x:v>본인 경험담 추정</x:v>
      </x:c>
      <x:c r="L876" s="112" t="str">
        <x:v>중간</x:v>
      </x:c>
      <x:c r="M876" s="112" t="str">
        <x:v>1인칭 경험·작품·계약 표현</x:v>
      </x:c>
      <x:c r="N876" s="116" t="str"/>
      <x:c r="O876" s="116" t="str">
        <x:v>https://m.blog.naver.com/sntu2010/221255907061</x:v>
      </x:c>
      <x:c r="P876" s="112" t="str">
        <x:v>아니오</x:v>
      </x:c>
      <x:c r="Q876" s="113" t="str">
        <x:v>자동 분류·표본 검토 대상</x:v>
      </x:c>
    </x:row>
    <x:row r="877">
      <x:c r="A877" s="100" t="n">
        <x:v>876</x:v>
      </x:c>
      <x:c r="B877" s="101" t="n">
        <x:v>43208</x:v>
      </x:c>
      <x:c r="C877" s="102" t="n">
        <x:v>2018</x:v>
      </x:c>
      <x:c r="D877" s="103" t="str">
        <x:v>ID-221255763521</x:v>
      </x:c>
      <x:c r="E877" s="112" t="str">
        <x:v>웹소설 연재에 대한 궁금증 해소(2편)</x:v>
      </x:c>
      <x:c r="F877" s="112" t="str">
        <x:v>웹소생각</x:v>
      </x:c>
      <x:c r="G877" s="112" t="str">
        <x:v>웹소설 직접</x:v>
      </x:c>
      <x:c r="H877" s="112" t="str">
        <x:v>플랫폼·투고·계약</x:v>
      </x:c>
      <x:c r="I877" s="112" t="n">
        <x:v>4</x:v>
      </x:c>
      <x:c r="J877" s="112" t="str">
        <x:v>네이버, 조아라</x:v>
      </x:c>
      <x:c r="K877" s="112" t="str">
        <x:v>본인 작성/의견 추정</x:v>
      </x:c>
      <x:c r="L877" s="112" t="str">
        <x:v>낮음</x:v>
      </x:c>
      <x:c r="M877" s="112" t="str">
        <x:v>재게시 표시는 없으나 저자성 직접 증거 부족</x:v>
      </x:c>
      <x:c r="N877" s="116" t="str"/>
      <x:c r="O877" s="116" t="str">
        <x:v>https://m.blog.naver.com/sntu2010/221255763521</x:v>
      </x:c>
      <x:c r="P877" s="112" t="str">
        <x:v>아니오</x:v>
      </x:c>
      <x:c r="Q877" s="113" t="str">
        <x:v>자동 분류·표본 검토 대상</x:v>
      </x:c>
    </x:row>
    <x:row r="878">
      <x:c r="A878" s="100" t="n">
        <x:v>877</x:v>
      </x:c>
      <x:c r="B878" s="101" t="n">
        <x:v>43203</x:v>
      </x:c>
      <x:c r="C878" s="102" t="n">
        <x:v>2018</x:v>
      </x:c>
      <x:c r="D878" s="103" t="str">
        <x:v>ID-221252537914</x:v>
      </x:c>
      <x:c r="E878" s="112" t="str">
        <x:v>[펌]무슨그림체를 좋아하세요?</x:v>
      </x:c>
      <x:c r="F878" s="112" t="str">
        <x:v>웹툰작법</x:v>
      </x:c>
      <x:c r="G878" s="112" t="str">
        <x:v>웹툰 참고</x:v>
      </x:c>
      <x:c r="H878" s="112" t="str">
        <x:v>캐릭터·전개</x:v>
      </x:c>
      <x:c r="I878" s="112" t="n">
        <x:v>1</x:v>
      </x:c>
      <x:c r="J878" s="112" t="str">
        <x:v>캐릭터</x:v>
      </x:c>
      <x:c r="K878" s="112" t="str">
        <x:v>재게시</x:v>
      </x:c>
      <x:c r="L878" s="112" t="str">
        <x:v>높음</x:v>
      </x:c>
      <x:c r="M878" s="112" t="str">
        <x:v>제목의 펌/퍼옴 표시</x:v>
      </x:c>
      <x:c r="N878" s="116" t="str"/>
      <x:c r="O878" s="116" t="str">
        <x:v>https://m.blog.naver.com/sntu2010/221252537914</x:v>
      </x:c>
      <x:c r="P878" s="112" t="str">
        <x:v>아니오</x:v>
      </x:c>
      <x:c r="Q878" s="113" t="str">
        <x:v>자동 분류·표본 검토 대상</x:v>
      </x:c>
    </x:row>
    <x:row r="879">
      <x:c r="A879" s="100" t="n">
        <x:v>878</x:v>
      </x:c>
      <x:c r="B879" s="101" t="n">
        <x:v>43203</x:v>
      </x:c>
      <x:c r="C879" s="102" t="n">
        <x:v>2018</x:v>
      </x:c>
      <x:c r="D879" s="103" t="str">
        <x:v>ID-221252090007</x:v>
      </x:c>
      <x:c r="E879" s="112" t="str">
        <x:v>[펌]현실의 문제점에 직면한 인물들의 대응방식</x:v>
      </x:c>
      <x:c r="F879" s="112" t="str">
        <x:v>웹툰작법</x:v>
      </x:c>
      <x:c r="G879" s="112" t="str">
        <x:v>웹툰 참고</x:v>
      </x:c>
      <x:c r="H879" s="112" t="str">
        <x:v>캐릭터·전개</x:v>
      </x:c>
      <x:c r="I879" s="112" t="n">
        <x:v>20</x:v>
      </x:c>
      <x:c r="J879" s="112" t="str">
        <x:v>인물</x:v>
      </x:c>
      <x:c r="K879" s="112" t="str">
        <x:v>재게시</x:v>
      </x:c>
      <x:c r="L879" s="112" t="str">
        <x:v>높음</x:v>
      </x:c>
      <x:c r="M879" s="112" t="str">
        <x:v>제목의 펌/퍼옴 표시</x:v>
      </x:c>
      <x:c r="N879" s="116" t="str"/>
      <x:c r="O879" s="116" t="str">
        <x:v>https://m.blog.naver.com/sntu2010/221252090007</x:v>
      </x:c>
      <x:c r="P879" s="112" t="str">
        <x:v>아니오</x:v>
      </x:c>
      <x:c r="Q879" s="113" t="str">
        <x:v>자동 분류·표본 검토 대상</x:v>
      </x:c>
    </x:row>
    <x:row r="880">
      <x:c r="A880" s="100" t="n">
        <x:v>879</x:v>
      </x:c>
      <x:c r="B880" s="101" t="n">
        <x:v>43202</x:v>
      </x:c>
      <x:c r="C880" s="102" t="n">
        <x:v>2018</x:v>
      </x:c>
      <x:c r="D880" s="103" t="str">
        <x:v>ID-221251092154</x:v>
      </x:c>
      <x:c r="E880" s="112" t="str">
        <x:v>'웹툰 배경' 스케치업, 트레이싱, 사진 리터칭, 직접 그리기</x:v>
      </x:c>
      <x:c r="F880" s="112" t="str">
        <x:v>웹툰생각</x:v>
      </x:c>
      <x:c r="G880" s="112" t="str">
        <x:v>웹툰 참고</x:v>
      </x:c>
      <x:c r="H880" s="112" t="str">
        <x:v>캐릭터·전개</x:v>
      </x:c>
      <x:c r="I880" s="112" t="n">
        <x:v>4</x:v>
      </x:c>
      <x:c r="J880" s="112" t="str">
        <x:v>인물, 대사, 캐릭터</x:v>
      </x:c>
      <x:c r="K880" s="112" t="str">
        <x:v>본인 작성/의견 추정</x:v>
      </x:c>
      <x:c r="L880" s="112" t="str">
        <x:v>낮음</x:v>
      </x:c>
      <x:c r="M880" s="112" t="str">
        <x:v>재게시 표시는 없으나 저자성 직접 증거 부족</x:v>
      </x:c>
      <x:c r="N880" s="116" t="str"/>
      <x:c r="O880" s="116" t="str">
        <x:v>https://m.blog.naver.com/sntu2010/221251092154</x:v>
      </x:c>
      <x:c r="P880" s="112" t="str">
        <x:v>아니오</x:v>
      </x:c>
      <x:c r="Q880" s="113" t="str">
        <x:v>자동 분류·표본 검토 대상</x:v>
      </x:c>
    </x:row>
    <x:row r="881">
      <x:c r="A881" s="100" t="n">
        <x:v>880</x:v>
      </x:c>
      <x:c r="B881" s="101" t="n">
        <x:v>43199</x:v>
      </x:c>
      <x:c r="C881" s="102" t="n">
        <x:v>2018</x:v>
      </x:c>
      <x:c r="D881" s="103" t="str">
        <x:v>ID-221248690765</x:v>
      </x:c>
      <x:c r="E881" s="112" t="str">
        <x:v>[펌]아군이 많을때 작품 마다 대처 하는 법</x:v>
      </x:c>
      <x:c r="F881" s="112" t="str">
        <x:v>웹툰작법</x:v>
      </x:c>
      <x:c r="G881" s="112" t="str">
        <x:v>웹툰 참고</x:v>
      </x:c>
      <x:c r="H881" s="112" t="str">
        <x:v>작법·상업성</x:v>
      </x:c>
      <x:c r="I881" s="112" t="n">
        <x:v>1</x:v>
      </x:c>
      <x:c r="J881" s="112" t="str">
        <x:v>작법</x:v>
      </x:c>
      <x:c r="K881" s="112" t="str">
        <x:v>재게시</x:v>
      </x:c>
      <x:c r="L881" s="112" t="str">
        <x:v>높음</x:v>
      </x:c>
      <x:c r="M881" s="112" t="str">
        <x:v>제목의 펌/퍼옴 표시</x:v>
      </x:c>
      <x:c r="N881" s="116" t="str"/>
      <x:c r="O881" s="116" t="str">
        <x:v>https://m.blog.naver.com/sntu2010/221248690765</x:v>
      </x:c>
      <x:c r="P881" s="112" t="str">
        <x:v>아니오</x:v>
      </x:c>
      <x:c r="Q881" s="113" t="str">
        <x:v>자동 분류·표본 검토 대상</x:v>
      </x:c>
    </x:row>
    <x:row r="882">
      <x:c r="A882" s="100" t="n">
        <x:v>881</x:v>
      </x:c>
      <x:c r="B882" s="101" t="n">
        <x:v>43198</x:v>
      </x:c>
      <x:c r="C882" s="102" t="n">
        <x:v>2018</x:v>
      </x:c>
      <x:c r="D882" s="103" t="str">
        <x:v>ID-221247809196</x:v>
      </x:c>
      <x:c r="E882" s="112" t="str">
        <x:v>[펌]그림그리기를 배우려면?</x:v>
      </x:c>
      <x:c r="F882" s="112" t="str">
        <x:v>웹툰작법</x:v>
      </x:c>
      <x:c r="G882" s="112" t="str">
        <x:v>웹툰 참고</x:v>
      </x:c>
      <x:c r="H882" s="112" t="str">
        <x:v>작법·상업성</x:v>
      </x:c>
      <x:c r="I882" s="112" t="n">
        <x:v>2</x:v>
      </x:c>
      <x:c r="J882" s="112" t="str">
        <x:v>제목, 작법</x:v>
      </x:c>
      <x:c r="K882" s="112" t="str">
        <x:v>재게시</x:v>
      </x:c>
      <x:c r="L882" s="112" t="str">
        <x:v>높음</x:v>
      </x:c>
      <x:c r="M882" s="112" t="str">
        <x:v>제목의 펌/퍼옴 표시</x:v>
      </x:c>
      <x:c r="N882" s="116" t="str">
        <x:v>https://www.clien.net/service/board/lecture/1024883</x:v>
      </x:c>
      <x:c r="O882" s="116" t="str">
        <x:v>https://m.blog.naver.com/sntu2010/221247809196</x:v>
      </x:c>
      <x:c r="P882" s="112" t="str">
        <x:v>아니오</x:v>
      </x:c>
      <x:c r="Q882" s="113" t="str">
        <x:v>자동 분류·표본 검토 대상</x:v>
      </x:c>
    </x:row>
    <x:row r="883">
      <x:c r="A883" s="100" t="n">
        <x:v>882</x:v>
      </x:c>
      <x:c r="B883" s="101" t="n">
        <x:v>43196</x:v>
      </x:c>
      <x:c r="C883" s="102" t="n">
        <x:v>2018</x:v>
      </x:c>
      <x:c r="D883" s="103" t="str">
        <x:v>ID-221246403135</x:v>
      </x:c>
      <x:c r="E883" s="112" t="str">
        <x:v>글(시나리오)을 쓰다가 벽(한계)을 맞이할 때</x:v>
      </x:c>
      <x:c r="F883" s="112" t="str">
        <x:v>웹소생각</x:v>
      </x:c>
      <x:c r="G883" s="112" t="str">
        <x:v>웹소설 직접</x:v>
      </x:c>
      <x:c r="H883" s="112" t="str">
        <x:v>캐릭터·전개</x:v>
      </x:c>
      <x:c r="I883" s="112" t="n">
        <x:v>8</x:v>
      </x:c>
      <x:c r="J883" s="112" t="str">
        <x:v>캐릭터, 대사, 전개, 주인공</x:v>
      </x:c>
      <x:c r="K883" s="112" t="str">
        <x:v>본인 작성/의견 추정</x:v>
      </x:c>
      <x:c r="L883" s="112" t="str">
        <x:v>낮음</x:v>
      </x:c>
      <x:c r="M883" s="112" t="str">
        <x:v>재게시 표시는 없으나 저자성 직접 증거 부족</x:v>
      </x:c>
      <x:c r="N883" s="116" t="str"/>
      <x:c r="O883" s="116" t="str">
        <x:v>https://m.blog.naver.com/sntu2010/221246403135</x:v>
      </x:c>
      <x:c r="P883" s="112" t="str">
        <x:v>예</x:v>
      </x:c>
      <x:c r="Q883" s="113" t="str">
        <x:v>자동 분류·표본 검토 대상</x:v>
      </x:c>
    </x:row>
    <x:row r="884">
      <x:c r="A884" s="100" t="n">
        <x:v>883</x:v>
      </x:c>
      <x:c r="B884" s="101" t="n">
        <x:v>43192</x:v>
      </x:c>
      <x:c r="C884" s="102" t="n">
        <x:v>2018</x:v>
      </x:c>
      <x:c r="D884" s="103" t="str">
        <x:v>ID-221243284710</x:v>
      </x:c>
      <x:c r="E884" s="112" t="str">
        <x:v>[펌]크로키</x:v>
      </x:c>
      <x:c r="F884" s="112" t="str">
        <x:v>웹툰작법</x:v>
      </x:c>
      <x:c r="G884" s="112" t="str">
        <x:v>웹툰 참고</x:v>
      </x:c>
      <x:c r="H884" s="112" t="str">
        <x:v>작법·상업성</x:v>
      </x:c>
      <x:c r="I884" s="112" t="n">
        <x:v>3</x:v>
      </x:c>
      <x:c r="J884" s="112" t="str">
        <x:v>묘사, 작법</x:v>
      </x:c>
      <x:c r="K884" s="112" t="str">
        <x:v>재게시</x:v>
      </x:c>
      <x:c r="L884" s="112" t="str">
        <x:v>높음</x:v>
      </x:c>
      <x:c r="M884" s="112" t="str">
        <x:v>제목의 펌/퍼옴 표시</x:v>
      </x:c>
      <x:c r="N884" s="116" t="str"/>
      <x:c r="O884" s="116" t="str">
        <x:v>https://m.blog.naver.com/sntu2010/221243284710</x:v>
      </x:c>
      <x:c r="P884" s="112" t="str">
        <x:v>아니오</x:v>
      </x:c>
      <x:c r="Q884" s="113" t="str">
        <x:v>자동 분류·표본 검토 대상</x:v>
      </x:c>
    </x:row>
    <x:row r="885">
      <x:c r="A885" s="100" t="n">
        <x:v>884</x:v>
      </x:c>
      <x:c r="B885" s="101" t="n">
        <x:v>43189</x:v>
      </x:c>
      <x:c r="C885" s="102" t="n">
        <x:v>2018</x:v>
      </x:c>
      <x:c r="D885" s="103" t="str">
        <x:v>ID-221240918791</x:v>
      </x:c>
      <x:c r="E885" s="112" t="str">
        <x:v>웹툰 작가의 수입에 대해 알아보자</x:v>
      </x:c>
      <x:c r="F885" s="112" t="str">
        <x:v>웹툰생각</x:v>
      </x:c>
      <x:c r="G885" s="112" t="str">
        <x:v>웹툰 참고</x:v>
      </x:c>
      <x:c r="H885" s="112" t="str">
        <x:v>수익·운영</x:v>
      </x:c>
      <x:c r="I885" s="112" t="n">
        <x:v>25</x:v>
      </x:c>
      <x:c r="J885" s="112" t="str">
        <x:v>수입</x:v>
      </x:c>
      <x:c r="K885" s="112" t="str">
        <x:v>외부자료 소개/재가공</x:v>
      </x:c>
      <x:c r="L885" s="112" t="str">
        <x:v>중간</x:v>
      </x:c>
      <x:c r="M885" s="112" t="str">
        <x:v>본문 앞부분의 외부 출처 URL</x:v>
      </x:c>
      <x:c r="N885" s="116" t="str">
        <x:v>http://news.chosun.com/site/data/html_dir/2015/12/17/2015121704415.html)</x:v>
      </x:c>
      <x:c r="O885" s="116" t="str">
        <x:v>https://m.blog.naver.com/sntu2010/221240918791</x:v>
      </x:c>
      <x:c r="P885" s="112" t="str">
        <x:v>아니오</x:v>
      </x:c>
      <x:c r="Q885" s="113" t="str">
        <x:v>자동 분류·표본 검토 대상</x:v>
      </x:c>
    </x:row>
    <x:row r="886">
      <x:c r="A886" s="100" t="n">
        <x:v>885</x:v>
      </x:c>
      <x:c r="B886" s="101" t="n">
        <x:v>43189</x:v>
      </x:c>
      <x:c r="C886" s="102" t="n">
        <x:v>2018</x:v>
      </x:c>
      <x:c r="D886" s="103" t="str">
        <x:v>ID-221240892927</x:v>
      </x:c>
      <x:c r="E886" s="112" t="str">
        <x:v>웹툰 작가의 매절과 MG 그리고 에이젼시에 대해 알아보자</x:v>
      </x:c>
      <x:c r="F886" s="112" t="str">
        <x:v>웹툰생각</x:v>
      </x:c>
      <x:c r="G886" s="112" t="str">
        <x:v>웹툰 참고</x:v>
      </x:c>
      <x:c r="H886" s="112" t="str">
        <x:v>수익·운영</x:v>
      </x:c>
      <x:c r="I886" s="112" t="n">
        <x:v>4</x:v>
      </x:c>
      <x:c r="J886" s="112" t="str">
        <x:v>수입, 생활비</x:v>
      </x:c>
      <x:c r="K886" s="112" t="str">
        <x:v>본인 작성/의견 추정</x:v>
      </x:c>
      <x:c r="L886" s="112" t="str">
        <x:v>낮음</x:v>
      </x:c>
      <x:c r="M886" s="112" t="str">
        <x:v>재게시 표시는 없으나 저자성 직접 증거 부족</x:v>
      </x:c>
      <x:c r="N886" s="116" t="str"/>
      <x:c r="O886" s="116" t="str">
        <x:v>https://m.blog.naver.com/sntu2010/221240892927</x:v>
      </x:c>
      <x:c r="P886" s="112" t="str">
        <x:v>아니오</x:v>
      </x:c>
      <x:c r="Q886" s="113" t="str">
        <x:v>자동 분류·표본 검토 대상</x:v>
      </x:c>
    </x:row>
    <x:row r="887">
      <x:c r="A887" s="100" t="n">
        <x:v>886</x:v>
      </x:c>
      <x:c r="B887" s="101" t="n">
        <x:v>43189</x:v>
      </x:c>
      <x:c r="C887" s="102" t="n">
        <x:v>2018</x:v>
      </x:c>
      <x:c r="D887" s="103" t="str">
        <x:v>ID-221240748956</x:v>
      </x:c>
      <x:c r="E887" s="112" t="str">
        <x:v>만화 웹툰 그림 잘 그리는 법</x:v>
      </x:c>
      <x:c r="F887" s="112" t="str">
        <x:v>웹툰생각</x:v>
      </x:c>
      <x:c r="G887" s="112" t="str">
        <x:v>웹툰 참고</x:v>
      </x:c>
      <x:c r="H887" s="112" t="str">
        <x:v>기타/검토</x:v>
      </x:c>
      <x:c r="I887" s="112" t="n">
        <x:v>0</x:v>
      </x:c>
      <x:c r="J887" s="112" t="str"/>
      <x:c r="K887" s="112" t="str">
        <x:v>본인 작성/의견 추정</x:v>
      </x:c>
      <x:c r="L887" s="112" t="str">
        <x:v>낮음</x:v>
      </x:c>
      <x:c r="M887" s="112" t="str">
        <x:v>재게시 표시는 없으나 저자성 직접 증거 부족</x:v>
      </x:c>
      <x:c r="N887" s="116" t="str"/>
      <x:c r="O887" s="116" t="str">
        <x:v>https://m.blog.naver.com/sntu2010/221240748956</x:v>
      </x:c>
      <x:c r="P887" s="112" t="str">
        <x:v>아니오</x:v>
      </x:c>
      <x:c r="Q887" s="113" t="str">
        <x:v>수동 검토 필요</x:v>
      </x:c>
    </x:row>
    <x:row r="888">
      <x:c r="A888" s="100" t="n">
        <x:v>887</x:v>
      </x:c>
      <x:c r="B888" s="101" t="n">
        <x:v>43188</x:v>
      </x:c>
      <x:c r="C888" s="102" t="n">
        <x:v>2018</x:v>
      </x:c>
      <x:c r="D888" s="103" t="str">
        <x:v>ID-221240308193</x:v>
      </x:c>
      <x:c r="E888" s="112" t="str">
        <x:v>웹툰 작가의 딜레마 '그림 밀도'</x:v>
      </x:c>
      <x:c r="F888" s="112" t="str">
        <x:v>웹툰생각</x:v>
      </x:c>
      <x:c r="G888" s="112" t="str">
        <x:v>웹툰 참고</x:v>
      </x:c>
      <x:c r="H888" s="112" t="str">
        <x:v>기타/검토</x:v>
      </x:c>
      <x:c r="I888" s="112" t="n">
        <x:v>0</x:v>
      </x:c>
      <x:c r="J888" s="112" t="str"/>
      <x:c r="K888" s="112" t="str">
        <x:v>본인 작성/의견 추정</x:v>
      </x:c>
      <x:c r="L888" s="112" t="str">
        <x:v>낮음</x:v>
      </x:c>
      <x:c r="M888" s="112" t="str">
        <x:v>재게시 표시는 없으나 저자성 직접 증거 부족</x:v>
      </x:c>
      <x:c r="N888" s="116" t="str"/>
      <x:c r="O888" s="116" t="str">
        <x:v>https://m.blog.naver.com/sntu2010/221240308193</x:v>
      </x:c>
      <x:c r="P888" s="112" t="str">
        <x:v>아니오</x:v>
      </x:c>
      <x:c r="Q888" s="113" t="str">
        <x:v>수동 검토 필요</x:v>
      </x:c>
    </x:row>
    <x:row r="889">
      <x:c r="A889" s="100" t="n">
        <x:v>888</x:v>
      </x:c>
      <x:c r="B889" s="101" t="n">
        <x:v>43188</x:v>
      </x:c>
      <x:c r="C889" s="102" t="n">
        <x:v>2018</x:v>
      </x:c>
      <x:c r="D889" s="103" t="str">
        <x:v>ID-221240281463</x:v>
      </x:c>
      <x:c r="E889" s="112" t="str">
        <x:v>만화 웹툰 트레이싱과 표절 대해 알아보자</x:v>
      </x:c>
      <x:c r="F889" s="112" t="str">
        <x:v>웹툰생각</x:v>
      </x:c>
      <x:c r="G889" s="112" t="str">
        <x:v>웹툰 참고</x:v>
      </x:c>
      <x:c r="H889" s="112" t="str">
        <x:v>작법·상업성</x:v>
      </x:c>
      <x:c r="I889" s="112" t="n">
        <x:v>3</x:v>
      </x:c>
      <x:c r="J889" s="112" t="str">
        <x:v>재미, 상업</x:v>
      </x:c>
      <x:c r="K889" s="112" t="str">
        <x:v>본인 작성/의견 추정</x:v>
      </x:c>
      <x:c r="L889" s="112" t="str">
        <x:v>낮음</x:v>
      </x:c>
      <x:c r="M889" s="112" t="str">
        <x:v>재게시 표시는 없으나 저자성 직접 증거 부족</x:v>
      </x:c>
      <x:c r="N889" s="116" t="str"/>
      <x:c r="O889" s="116" t="str">
        <x:v>https://m.blog.naver.com/sntu2010/221240281463</x:v>
      </x:c>
      <x:c r="P889" s="112" t="str">
        <x:v>아니오</x:v>
      </x:c>
      <x:c r="Q889" s="113" t="str">
        <x:v>자동 분류·표본 검토 대상</x:v>
      </x:c>
    </x:row>
    <x:row r="890">
      <x:c r="A890" s="100" t="n">
        <x:v>889</x:v>
      </x:c>
      <x:c r="B890" s="101" t="n">
        <x:v>43182</x:v>
      </x:c>
      <x:c r="C890" s="102" t="n">
        <x:v>2018</x:v>
      </x:c>
      <x:c r="D890" s="103" t="str">
        <x:v>ID-221235972656</x:v>
      </x:c>
      <x:c r="E890" s="112" t="str">
        <x:v>웹툰에 최적화 된 웹툰을 알아보자</x:v>
      </x:c>
      <x:c r="F890" s="112" t="str">
        <x:v>웹툰생각</x:v>
      </x:c>
      <x:c r="G890" s="112" t="str">
        <x:v>웹툰 참고</x:v>
      </x:c>
      <x:c r="H890" s="112" t="str">
        <x:v>작법·상업성</x:v>
      </x:c>
      <x:c r="I890" s="112" t="n">
        <x:v>4</x:v>
      </x:c>
      <x:c r="J890" s="112" t="str">
        <x:v>독자</x:v>
      </x:c>
      <x:c r="K890" s="112" t="str">
        <x:v>본인 경험담 추정</x:v>
      </x:c>
      <x:c r="L890" s="112" t="str">
        <x:v>중간</x:v>
      </x:c>
      <x:c r="M890" s="112" t="str">
        <x:v>1인칭 경험·작품·계약 표현</x:v>
      </x:c>
      <x:c r="N890" s="116" t="str"/>
      <x:c r="O890" s="116" t="str">
        <x:v>https://m.blog.naver.com/sntu2010/221235972656</x:v>
      </x:c>
      <x:c r="P890" s="112" t="str">
        <x:v>아니오</x:v>
      </x:c>
      <x:c r="Q890" s="113" t="str">
        <x:v>자동 분류·표본 검토 대상</x:v>
      </x:c>
    </x:row>
    <x:row r="891">
      <x:c r="A891" s="100" t="n">
        <x:v>890</x:v>
      </x:c>
      <x:c r="B891" s="101" t="n">
        <x:v>43180</x:v>
      </x:c>
      <x:c r="C891" s="102" t="n">
        <x:v>2018</x:v>
      </x:c>
      <x:c r="D891" s="103" t="str">
        <x:v>ID-221233842388</x:v>
      </x:c>
      <x:c r="E891" s="112" t="str">
        <x:v>웹소설 잘 쓰기 - 개연성을 지적받지 않는 방법</x:v>
      </x:c>
      <x:c r="F891" s="112" t="str">
        <x:v>웹소생각</x:v>
      </x:c>
      <x:c r="G891" s="112" t="str">
        <x:v>웹소설 직접</x:v>
      </x:c>
      <x:c r="H891" s="112" t="str">
        <x:v>캐릭터·전개</x:v>
      </x:c>
      <x:c r="I891" s="112" t="n">
        <x:v>5</x:v>
      </x:c>
      <x:c r="J891" s="112" t="str">
        <x:v>전개, 주인공</x:v>
      </x:c>
      <x:c r="K891" s="112" t="str">
        <x:v>외부자료 소개/재가공</x:v>
      </x:c>
      <x:c r="L891" s="112" t="str">
        <x:v>중간</x:v>
      </x:c>
      <x:c r="M891" s="112" t="str">
        <x:v>본문 앞부분의 외부 출처 URL</x:v>
      </x:c>
      <x:c r="N891" s="116" t="str">
        <x:v>https://blog.naver.com/sntu2010/221227825698)</x:v>
      </x:c>
      <x:c r="O891" s="116" t="str">
        <x:v>https://m.blog.naver.com/sntu2010/221233842388</x:v>
      </x:c>
      <x:c r="P891" s="112" t="str">
        <x:v>아니오</x:v>
      </x:c>
      <x:c r="Q891" s="113" t="str">
        <x:v>자동 분류·표본 검토 대상</x:v>
      </x:c>
    </x:row>
    <x:row r="892">
      <x:c r="A892" s="100" t="n">
        <x:v>891</x:v>
      </x:c>
      <x:c r="B892" s="101" t="n">
        <x:v>43179</x:v>
      </x:c>
      <x:c r="C892" s="102" t="n">
        <x:v>2018</x:v>
      </x:c>
      <x:c r="D892" s="103" t="str">
        <x:v>ID-221233479198</x:v>
      </x:c>
      <x:c r="E892" s="112" t="str">
        <x:v>[펌]30초 크로키가 정말 도움이 될까요?</x:v>
      </x:c>
      <x:c r="F892" s="112" t="str">
        <x:v>웹툰작법</x:v>
      </x:c>
      <x:c r="G892" s="112" t="str">
        <x:v>웹툰 참고</x:v>
      </x:c>
      <x:c r="H892" s="112" t="str">
        <x:v>작법·상업성</x:v>
      </x:c>
      <x:c r="I892" s="112" t="n">
        <x:v>1</x:v>
      </x:c>
      <x:c r="J892" s="112" t="str">
        <x:v>작법</x:v>
      </x:c>
      <x:c r="K892" s="112" t="str">
        <x:v>재게시</x:v>
      </x:c>
      <x:c r="L892" s="112" t="str">
        <x:v>높음</x:v>
      </x:c>
      <x:c r="M892" s="112" t="str">
        <x:v>제목의 펌/퍼옴 표시</x:v>
      </x:c>
      <x:c r="N892" s="116" t="str">
        <x:v>http://www.todayhumor.co.kr/board/view.php?table=comics&amp;no=22976</x:v>
      </x:c>
      <x:c r="O892" s="116" t="str">
        <x:v>https://m.blog.naver.com/sntu2010/221233479198</x:v>
      </x:c>
      <x:c r="P892" s="112" t="str">
        <x:v>아니오</x:v>
      </x:c>
      <x:c r="Q892" s="113" t="str">
        <x:v>자동 분류·표본 검토 대상</x:v>
      </x:c>
    </x:row>
    <x:row r="893">
      <x:c r="A893" s="100" t="n">
        <x:v>892</x:v>
      </x:c>
      <x:c r="B893" s="101" t="n">
        <x:v>43178</x:v>
      </x:c>
      <x:c r="C893" s="102" t="n">
        <x:v>2018</x:v>
      </x:c>
      <x:c r="D893" s="103" t="str">
        <x:v>ID-221232423411</x:v>
      </x:c>
      <x:c r="E893" s="112" t="str">
        <x:v>웹툰을 만드는 프로그램 '클립 스튜디오'</x:v>
      </x:c>
      <x:c r="F893" s="112" t="str">
        <x:v>웹툰생각</x:v>
      </x:c>
      <x:c r="G893" s="112" t="str">
        <x:v>웹툰 참고</x:v>
      </x:c>
      <x:c r="H893" s="112" t="str">
        <x:v>기타/검토</x:v>
      </x:c>
      <x:c r="I893" s="112" t="n">
        <x:v>0</x:v>
      </x:c>
      <x:c r="J893" s="112" t="str"/>
      <x:c r="K893" s="112" t="str">
        <x:v>본인 경험담 추정</x:v>
      </x:c>
      <x:c r="L893" s="112" t="str">
        <x:v>중간</x:v>
      </x:c>
      <x:c r="M893" s="112" t="str">
        <x:v>1인칭 경험·작품·계약 표현</x:v>
      </x:c>
      <x:c r="N893" s="116" t="str"/>
      <x:c r="O893" s="116" t="str">
        <x:v>https://m.blog.naver.com/sntu2010/221232423411</x:v>
      </x:c>
      <x:c r="P893" s="112" t="str">
        <x:v>아니오</x:v>
      </x:c>
      <x:c r="Q893" s="113" t="str">
        <x:v>수동 검토 필요</x:v>
      </x:c>
    </x:row>
    <x:row r="894">
      <x:c r="A894" s="100" t="n">
        <x:v>893</x:v>
      </x:c>
      <x:c r="B894" s="101" t="n">
        <x:v>43178</x:v>
      </x:c>
      <x:c r="C894" s="102" t="n">
        <x:v>2018</x:v>
      </x:c>
      <x:c r="D894" s="103" t="str">
        <x:v>ID-221232195213</x:v>
      </x:c>
      <x:c r="E894" s="112" t="str">
        <x:v>[펌]클립 스튜디오 색 바꾸기</x:v>
      </x:c>
      <x:c r="F894" s="112" t="str">
        <x:v>웹툰작법</x:v>
      </x:c>
      <x:c r="G894" s="112" t="str">
        <x:v>웹툰 참고</x:v>
      </x:c>
      <x:c r="H894" s="112" t="str">
        <x:v>작법·상업성</x:v>
      </x:c>
      <x:c r="I894" s="112" t="n">
        <x:v>1</x:v>
      </x:c>
      <x:c r="J894" s="112" t="str">
        <x:v>작법</x:v>
      </x:c>
      <x:c r="K894" s="112" t="str">
        <x:v>재게시</x:v>
      </x:c>
      <x:c r="L894" s="112" t="str">
        <x:v>높음</x:v>
      </x:c>
      <x:c r="M894" s="112" t="str">
        <x:v>제목의 펌/퍼옴 표시</x:v>
      </x:c>
      <x:c r="N894" s="116" t="str">
        <x:v>http://cafe.naver.com/comicstudio</x:v>
      </x:c>
      <x:c r="O894" s="116" t="str">
        <x:v>https://m.blog.naver.com/sntu2010/221232195213</x:v>
      </x:c>
      <x:c r="P894" s="112" t="str">
        <x:v>아니오</x:v>
      </x:c>
      <x:c r="Q894" s="113" t="str">
        <x:v>자동 분류·표본 검토 대상</x:v>
      </x:c>
    </x:row>
    <x:row r="895">
      <x:c r="A895" s="100" t="n">
        <x:v>894</x:v>
      </x:c>
      <x:c r="B895" s="101" t="n">
        <x:v>43174</x:v>
      </x:c>
      <x:c r="C895" s="102" t="n">
        <x:v>2018</x:v>
      </x:c>
      <x:c r="D895" s="103" t="str">
        <x:v>ID-221229825238</x:v>
      </x:c>
      <x:c r="E895" s="112" t="str">
        <x:v>[펌]클립스튜디오 단축키 백업방법</x:v>
      </x:c>
      <x:c r="F895" s="112" t="str">
        <x:v>웹툰작법</x:v>
      </x:c>
      <x:c r="G895" s="112" t="str">
        <x:v>웹툰 참고</x:v>
      </x:c>
      <x:c r="H895" s="112" t="str">
        <x:v>작법·상업성</x:v>
      </x:c>
      <x:c r="I895" s="112" t="n">
        <x:v>3</x:v>
      </x:c>
      <x:c r="J895" s="112" t="str">
        <x:v>설정, 작법</x:v>
      </x:c>
      <x:c r="K895" s="112" t="str">
        <x:v>재게시</x:v>
      </x:c>
      <x:c r="L895" s="112" t="str">
        <x:v>높음</x:v>
      </x:c>
      <x:c r="M895" s="112" t="str">
        <x:v>제목의 펌/퍼옴 표시</x:v>
      </x:c>
      <x:c r="N895" s="116" t="str">
        <x:v>http://cafe.naver.com/kacwebtoon2017/860</x:v>
      </x:c>
      <x:c r="O895" s="116" t="str">
        <x:v>https://m.blog.naver.com/sntu2010/221229825238</x:v>
      </x:c>
      <x:c r="P895" s="112" t="str">
        <x:v>아니오</x:v>
      </x:c>
      <x:c r="Q895" s="113" t="str">
        <x:v>자동 분류·표본 검토 대상</x:v>
      </x:c>
    </x:row>
    <x:row r="896">
      <x:c r="A896" s="100" t="n">
        <x:v>895</x:v>
      </x:c>
      <x:c r="B896" s="101" t="n">
        <x:v>43174</x:v>
      </x:c>
      <x:c r="C896" s="102" t="n">
        <x:v>2018</x:v>
      </x:c>
      <x:c r="D896" s="103" t="str">
        <x:v>ID-221229824725</x:v>
      </x:c>
      <x:c r="E896" s="112" t="str">
        <x:v>[펌]클립스튜디오 자동저장 프로그램</x:v>
      </x:c>
      <x:c r="F896" s="112" t="str">
        <x:v>웹툰작법</x:v>
      </x:c>
      <x:c r="G896" s="112" t="str">
        <x:v>웹툰 참고</x:v>
      </x:c>
      <x:c r="H896" s="112" t="str">
        <x:v>작법·상업성</x:v>
      </x:c>
      <x:c r="I896" s="112" t="n">
        <x:v>1</x:v>
      </x:c>
      <x:c r="J896" s="112" t="str">
        <x:v>작법</x:v>
      </x:c>
      <x:c r="K896" s="112" t="str">
        <x:v>재게시</x:v>
      </x:c>
      <x:c r="L896" s="112" t="str">
        <x:v>높음</x:v>
      </x:c>
      <x:c r="M896" s="112" t="str">
        <x:v>제목의 펌/퍼옴 표시</x:v>
      </x:c>
      <x:c r="N896" s="116" t="str">
        <x:v>http://ayachigin.github.io/auto-save.html</x:v>
      </x:c>
      <x:c r="O896" s="116" t="str">
        <x:v>https://m.blog.naver.com/sntu2010/221229824725</x:v>
      </x:c>
      <x:c r="P896" s="112" t="str">
        <x:v>아니오</x:v>
      </x:c>
      <x:c r="Q896" s="113" t="str">
        <x:v>자동 분류·표본 검토 대상</x:v>
      </x:c>
    </x:row>
    <x:row r="897">
      <x:c r="A897" s="100" t="n">
        <x:v>896</x:v>
      </x:c>
      <x:c r="B897" s="101" t="n">
        <x:v>43172</x:v>
      </x:c>
      <x:c r="C897" s="102" t="n">
        <x:v>2018</x:v>
      </x:c>
      <x:c r="D897" s="103" t="str">
        <x:v>ID-221228070488</x:v>
      </x:c>
      <x:c r="E897" s="112" t="str">
        <x:v>웹소설 연재에 대한 궁금증 해소(1편)</x:v>
      </x:c>
      <x:c r="F897" s="112" t="str">
        <x:v>웹소생각</x:v>
      </x:c>
      <x:c r="G897" s="112" t="str">
        <x:v>웹소설 직접</x:v>
      </x:c>
      <x:c r="H897" s="112" t="str">
        <x:v>플랫폼·투고·계약</x:v>
      </x:c>
      <x:c r="I897" s="112" t="n">
        <x:v>5</x:v>
      </x:c>
      <x:c r="J897" s="112" t="str">
        <x:v>문피아, 조아라</x:v>
      </x:c>
      <x:c r="K897" s="112" t="str">
        <x:v>본인 작성/의견 추정</x:v>
      </x:c>
      <x:c r="L897" s="112" t="str">
        <x:v>낮음</x:v>
      </x:c>
      <x:c r="M897" s="112" t="str">
        <x:v>재게시 표시는 없으나 저자성 직접 증거 부족</x:v>
      </x:c>
      <x:c r="N897" s="116" t="str"/>
      <x:c r="O897" s="116" t="str">
        <x:v>https://m.blog.naver.com/sntu2010/221228070488</x:v>
      </x:c>
      <x:c r="P897" s="112" t="str">
        <x:v>아니오</x:v>
      </x:c>
      <x:c r="Q897" s="113" t="str">
        <x:v>자동 분류·표본 검토 대상</x:v>
      </x:c>
    </x:row>
    <x:row r="898">
      <x:c r="A898" s="100" t="n">
        <x:v>897</x:v>
      </x:c>
      <x:c r="B898" s="101" t="n">
        <x:v>43172</x:v>
      </x:c>
      <x:c r="C898" s="102" t="n">
        <x:v>2018</x:v>
      </x:c>
      <x:c r="D898" s="103" t="str">
        <x:v>ID-221228027428</x:v>
      </x:c>
      <x:c r="E898" s="112" t="str">
        <x:v>웹소설 작가가 되는 방법(하편)</x:v>
      </x:c>
      <x:c r="F898" s="112" t="str">
        <x:v>웹소생각</x:v>
      </x:c>
      <x:c r="G898" s="112" t="str">
        <x:v>웹소설 직접</x:v>
      </x:c>
      <x:c r="H898" s="112" t="str">
        <x:v>수익·운영</x:v>
      </x:c>
      <x:c r="I898" s="112" t="n">
        <x:v>1</x:v>
      </x:c>
      <x:c r="J898" s="112" t="str">
        <x:v>수입</x:v>
      </x:c>
      <x:c r="K898" s="112" t="str">
        <x:v>외부자료 소개/재가공</x:v>
      </x:c>
      <x:c r="L898" s="112" t="str">
        <x:v>중간</x:v>
      </x:c>
      <x:c r="M898" s="112" t="str">
        <x:v>본문 앞부분의 외부 출처 URL</x:v>
      </x:c>
      <x:c r="N898" s="116" t="str">
        <x:v>https://blog.naver.com/sntu2010/221227995358</x:v>
      </x:c>
      <x:c r="O898" s="116" t="str">
        <x:v>https://m.blog.naver.com/sntu2010/221228027428</x:v>
      </x:c>
      <x:c r="P898" s="112" t="str">
        <x:v>아니오</x:v>
      </x:c>
      <x:c r="Q898" s="113" t="str">
        <x:v>수동 검토 필요</x:v>
      </x:c>
    </x:row>
    <x:row r="899">
      <x:c r="A899" s="100" t="n">
        <x:v>898</x:v>
      </x:c>
      <x:c r="B899" s="101" t="n">
        <x:v>43172</x:v>
      </x:c>
      <x:c r="C899" s="102" t="n">
        <x:v>2018</x:v>
      </x:c>
      <x:c r="D899" s="103" t="str">
        <x:v>ID-221227995358</x:v>
      </x:c>
      <x:c r="E899" s="112" t="str">
        <x:v>웹소설 작가가 되는 방법(상편)</x:v>
      </x:c>
      <x:c r="F899" s="112" t="str">
        <x:v>웹소생각</x:v>
      </x:c>
      <x:c r="G899" s="112" t="str">
        <x:v>웹소설 직접</x:v>
      </x:c>
      <x:c r="H899" s="112" t="str">
        <x:v>수익·운영</x:v>
      </x:c>
      <x:c r="I899" s="112" t="n">
        <x:v>4</x:v>
      </x:c>
      <x:c r="J899" s="112" t="str">
        <x:v>수입, 정산, 전업</x:v>
      </x:c>
      <x:c r="K899" s="112" t="str">
        <x:v>본인 경험담 추정</x:v>
      </x:c>
      <x:c r="L899" s="112" t="str">
        <x:v>중간</x:v>
      </x:c>
      <x:c r="M899" s="112" t="str">
        <x:v>1인칭 경험·작품·계약 표현</x:v>
      </x:c>
      <x:c r="N899" s="116" t="str"/>
      <x:c r="O899" s="116" t="str">
        <x:v>https://m.blog.naver.com/sntu2010/221227995358</x:v>
      </x:c>
      <x:c r="P899" s="112" t="str">
        <x:v>아니오</x:v>
      </x:c>
      <x:c r="Q899" s="113" t="str">
        <x:v>자동 분류·표본 검토 대상</x:v>
      </x:c>
    </x:row>
    <x:row r="900">
      <x:c r="A900" s="100" t="n">
        <x:v>899</x:v>
      </x:c>
      <x:c r="B900" s="101" t="n">
        <x:v>43172</x:v>
      </x:c>
      <x:c r="C900" s="102" t="n">
        <x:v>2018</x:v>
      </x:c>
      <x:c r="D900" s="103" t="str">
        <x:v>ID-221227953173</x:v>
      </x:c>
      <x:c r="E900" s="112" t="str">
        <x:v>웹소설 잘 쓰는 방법(6부)</x:v>
      </x:c>
      <x:c r="F900" s="112" t="str">
        <x:v>웹소생각</x:v>
      </x:c>
      <x:c r="G900" s="112" t="str">
        <x:v>웹소설 직접</x:v>
      </x:c>
      <x:c r="H900" s="112" t="str">
        <x:v>작법·상업성</x:v>
      </x:c>
      <x:c r="I900" s="112" t="n">
        <x:v>3</x:v>
      </x:c>
      <x:c r="J900" s="112" t="str">
        <x:v>소재, 독자</x:v>
      </x:c>
      <x:c r="K900" s="112" t="str">
        <x:v>외부자료 소개/재가공</x:v>
      </x:c>
      <x:c r="L900" s="112" t="str">
        <x:v>중간</x:v>
      </x:c>
      <x:c r="M900" s="112" t="str">
        <x:v>본문 앞부분의 외부 출처 URL</x:v>
      </x:c>
      <x:c r="N900" s="116" t="str">
        <x:v>https://blog.naver.com/sntu2010/221227844608</x:v>
      </x:c>
      <x:c r="O900" s="116" t="str">
        <x:v>https://m.blog.naver.com/sntu2010/221227953173</x:v>
      </x:c>
      <x:c r="P900" s="112" t="str">
        <x:v>아니오</x:v>
      </x:c>
      <x:c r="Q900" s="113" t="str">
        <x:v>자동 분류·표본 검토 대상</x:v>
      </x:c>
    </x:row>
    <x:row r="901">
      <x:c r="A901" s="100" t="n">
        <x:v>900</x:v>
      </x:c>
      <x:c r="B901" s="101" t="n">
        <x:v>43172</x:v>
      </x:c>
      <x:c r="C901" s="102" t="n">
        <x:v>2018</x:v>
      </x:c>
      <x:c r="D901" s="103" t="str">
        <x:v>ID-221227930263</x:v>
      </x:c>
      <x:c r="E901" s="112" t="str">
        <x:v>웹소설 잘 쓰는 방법(5부)</x:v>
      </x:c>
      <x:c r="F901" s="112" t="str">
        <x:v>웹소생각</x:v>
      </x:c>
      <x:c r="G901" s="112" t="str">
        <x:v>웹소설 직접</x:v>
      </x:c>
      <x:c r="H901" s="112" t="str">
        <x:v>캐릭터·전개</x:v>
      </x:c>
      <x:c r="I901" s="112" t="n">
        <x:v>8</x:v>
      </x:c>
      <x:c r="J901" s="112" t="str">
        <x:v>캐릭터, 조연, 주인공, 악역</x:v>
      </x:c>
      <x:c r="K901" s="112" t="str">
        <x:v>외부자료 소개/재가공</x:v>
      </x:c>
      <x:c r="L901" s="112" t="str">
        <x:v>중간</x:v>
      </x:c>
      <x:c r="M901" s="112" t="str">
        <x:v>본문 앞부분의 외부 출처 URL</x:v>
      </x:c>
      <x:c r="N901" s="116" t="str">
        <x:v>https://blog.naver.com/sntu2010/221227844608</x:v>
      </x:c>
      <x:c r="O901" s="116" t="str">
        <x:v>https://m.blog.naver.com/sntu2010/221227930263</x:v>
      </x:c>
      <x:c r="P901" s="112" t="str">
        <x:v>예</x:v>
      </x:c>
      <x:c r="Q901" s="113" t="str">
        <x:v>자동 분류·표본 검토 대상</x:v>
      </x:c>
    </x:row>
    <x:row r="902">
      <x:c r="A902" s="100" t="n">
        <x:v>901</x:v>
      </x:c>
      <x:c r="B902" s="101" t="n">
        <x:v>43172</x:v>
      </x:c>
      <x:c r="C902" s="102" t="n">
        <x:v>2018</x:v>
      </x:c>
      <x:c r="D902" s="103" t="str">
        <x:v>ID-221227913679</x:v>
      </x:c>
      <x:c r="E902" s="112" t="str">
        <x:v>웹소설 잘 쓰는 방법(4부)</x:v>
      </x:c>
      <x:c r="F902" s="112" t="str">
        <x:v>웹소생각</x:v>
      </x:c>
      <x:c r="G902" s="112" t="str">
        <x:v>웹소설 직접</x:v>
      </x:c>
      <x:c r="H902" s="112" t="str">
        <x:v>작법·상업성</x:v>
      </x:c>
      <x:c r="I902" s="112" t="n">
        <x:v>4</x:v>
      </x:c>
      <x:c r="J902" s="112" t="str">
        <x:v>독자, 기대감, 소재</x:v>
      </x:c>
      <x:c r="K902" s="112" t="str">
        <x:v>외부자료 소개/재가공</x:v>
      </x:c>
      <x:c r="L902" s="112" t="str">
        <x:v>중간</x:v>
      </x:c>
      <x:c r="M902" s="112" t="str">
        <x:v>본문 앞부분의 외부 출처 URL</x:v>
      </x:c>
      <x:c r="N902" s="116" t="str">
        <x:v>https://blog.naver.com/sntu2010/221227844608</x:v>
      </x:c>
      <x:c r="O902" s="116" t="str">
        <x:v>https://m.blog.naver.com/sntu2010/221227913679</x:v>
      </x:c>
      <x:c r="P902" s="112" t="str">
        <x:v>아니오</x:v>
      </x:c>
      <x:c r="Q902" s="113" t="str">
        <x:v>자동 분류·표본 검토 대상</x:v>
      </x:c>
    </x:row>
    <x:row r="903">
      <x:c r="A903" s="100" t="n">
        <x:v>902</x:v>
      </x:c>
      <x:c r="B903" s="101" t="n">
        <x:v>43172</x:v>
      </x:c>
      <x:c r="C903" s="102" t="n">
        <x:v>2018</x:v>
      </x:c>
      <x:c r="D903" s="103" t="str">
        <x:v>ID-221227890793</x:v>
      </x:c>
      <x:c r="E903" s="112" t="str">
        <x:v>웹소설 잘 쓰는 방법(3부)</x:v>
      </x:c>
      <x:c r="F903" s="112" t="str">
        <x:v>웹소생각</x:v>
      </x:c>
      <x:c r="G903" s="112" t="str">
        <x:v>웹소설 직접</x:v>
      </x:c>
      <x:c r="H903" s="112" t="str">
        <x:v>캐릭터·전개</x:v>
      </x:c>
      <x:c r="I903" s="112" t="n">
        <x:v>6</x:v>
      </x:c>
      <x:c r="J903" s="112" t="str">
        <x:v>전개, 갈등, 주인공, 히로인</x:v>
      </x:c>
      <x:c r="K903" s="112" t="str">
        <x:v>외부자료 소개/재가공</x:v>
      </x:c>
      <x:c r="L903" s="112" t="str">
        <x:v>중간</x:v>
      </x:c>
      <x:c r="M903" s="112" t="str">
        <x:v>본문 앞부분의 외부 출처 URL</x:v>
      </x:c>
      <x:c r="N903" s="116" t="str">
        <x:v>https://blog.naver.com/sntu2010/221227844608</x:v>
      </x:c>
      <x:c r="O903" s="116" t="str">
        <x:v>https://m.blog.naver.com/sntu2010/221227890793</x:v>
      </x:c>
      <x:c r="P903" s="112" t="str">
        <x:v>예</x:v>
      </x:c>
      <x:c r="Q903" s="113" t="str">
        <x:v>자동 분류·표본 검토 대상</x:v>
      </x:c>
    </x:row>
    <x:row r="904">
      <x:c r="A904" s="100" t="n">
        <x:v>903</x:v>
      </x:c>
      <x:c r="B904" s="101" t="n">
        <x:v>43172</x:v>
      </x:c>
      <x:c r="C904" s="102" t="n">
        <x:v>2018</x:v>
      </x:c>
      <x:c r="D904" s="103" t="str">
        <x:v>ID-221227863227</x:v>
      </x:c>
      <x:c r="E904" s="112" t="str">
        <x:v>웹소설 잘 쓰는 방법(2부)</x:v>
      </x:c>
      <x:c r="F904" s="112" t="str">
        <x:v>웹소생각</x:v>
      </x:c>
      <x:c r="G904" s="112" t="str">
        <x:v>웹소설 직접</x:v>
      </x:c>
      <x:c r="H904" s="112" t="str">
        <x:v>캐릭터·전개</x:v>
      </x:c>
      <x:c r="I904" s="112" t="n">
        <x:v>3</x:v>
      </x:c>
      <x:c r="J904" s="112" t="str">
        <x:v>주인공, 캐릭터</x:v>
      </x:c>
      <x:c r="K904" s="112" t="str">
        <x:v>외부자료 소개/재가공</x:v>
      </x:c>
      <x:c r="L904" s="112" t="str">
        <x:v>중간</x:v>
      </x:c>
      <x:c r="M904" s="112" t="str">
        <x:v>본문 앞부분의 외부 출처 URL</x:v>
      </x:c>
      <x:c r="N904" s="116" t="str">
        <x:v>https://blog.naver.com/sntu2010/221227844608종이출판</x:v>
      </x:c>
      <x:c r="O904" s="116" t="str">
        <x:v>https://m.blog.naver.com/sntu2010/221227863227</x:v>
      </x:c>
      <x:c r="P904" s="112" t="str">
        <x:v>아니오</x:v>
      </x:c>
      <x:c r="Q904" s="113" t="str">
        <x:v>자동 분류·표본 검토 대상</x:v>
      </x:c>
    </x:row>
    <x:row r="905">
      <x:c r="A905" s="100" t="n">
        <x:v>904</x:v>
      </x:c>
      <x:c r="B905" s="101" t="n">
        <x:v>43172</x:v>
      </x:c>
      <x:c r="C905" s="102" t="n">
        <x:v>2018</x:v>
      </x:c>
      <x:c r="D905" s="103" t="str">
        <x:v>ID-221227844608</x:v>
      </x:c>
      <x:c r="E905" s="112" t="str">
        <x:v>웹소설 잘 쓰는 방법(1부)</x:v>
      </x:c>
      <x:c r="F905" s="112" t="str">
        <x:v>웹소생각</x:v>
      </x:c>
      <x:c r="G905" s="112" t="str">
        <x:v>웹소설 직접</x:v>
      </x:c>
      <x:c r="H905" s="112" t="str">
        <x:v>플랫폼·투고·계약</x:v>
      </x:c>
      <x:c r="I905" s="112" t="n">
        <x:v>2</x:v>
      </x:c>
      <x:c r="J905" s="112" t="str">
        <x:v>출판사</x:v>
      </x:c>
      <x:c r="K905" s="112" t="str">
        <x:v>본인 경험담 추정</x:v>
      </x:c>
      <x:c r="L905" s="112" t="str">
        <x:v>중간</x:v>
      </x:c>
      <x:c r="M905" s="112" t="str">
        <x:v>1인칭 경험·작품·계약 표현</x:v>
      </x:c>
      <x:c r="N905" s="116" t="str"/>
      <x:c r="O905" s="116" t="str">
        <x:v>https://m.blog.naver.com/sntu2010/221227844608</x:v>
      </x:c>
      <x:c r="P905" s="112" t="str">
        <x:v>아니오</x:v>
      </x:c>
      <x:c r="Q905" s="113" t="str">
        <x:v>수동 검토 필요</x:v>
      </x:c>
    </x:row>
    <x:row r="906">
      <x:c r="A906" s="100" t="n">
        <x:v>905</x:v>
      </x:c>
      <x:c r="B906" s="101" t="n">
        <x:v>43166</x:v>
      </x:c>
      <x:c r="C906" s="102" t="n">
        <x:v>2018</x:v>
      </x:c>
      <x:c r="D906" s="103" t="str">
        <x:v>ID-221223595978</x:v>
      </x:c>
      <x:c r="E906" s="112" t="str">
        <x:v>만화 배경은 그릴 필요없다?! 스케치업 만세!</x:v>
      </x:c>
      <x:c r="F906" s="112" t="str">
        <x:v>웹툰생각</x:v>
      </x:c>
      <x:c r="G906" s="112" t="str">
        <x:v>웹툰 참고</x:v>
      </x:c>
      <x:c r="H906" s="112" t="str">
        <x:v>플랫폼·투고·계약</x:v>
      </x:c>
      <x:c r="I906" s="112" t="n">
        <x:v>2</x:v>
      </x:c>
      <x:c r="J906" s="112" t="str">
        <x:v>연재처, 네이버</x:v>
      </x:c>
      <x:c r="K906" s="112" t="str">
        <x:v>본인 작성/의견 추정</x:v>
      </x:c>
      <x:c r="L906" s="112" t="str">
        <x:v>낮음</x:v>
      </x:c>
      <x:c r="M906" s="112" t="str">
        <x:v>재게시 표시는 없으나 저자성 직접 증거 부족</x:v>
      </x:c>
      <x:c r="N906" s="116" t="str"/>
      <x:c r="O906" s="116" t="str">
        <x:v>https://m.blog.naver.com/sntu2010/221223595978</x:v>
      </x:c>
      <x:c r="P906" s="112" t="str">
        <x:v>아니오</x:v>
      </x:c>
      <x:c r="Q906" s="113" t="str">
        <x:v>수동 검토 필요</x:v>
      </x:c>
    </x:row>
    <x:row r="907">
      <x:c r="A907" s="100" t="n">
        <x:v>906</x:v>
      </x:c>
      <x:c r="B907" s="101" t="n">
        <x:v>43166</x:v>
      </x:c>
      <x:c r="C907" s="102" t="n">
        <x:v>2018</x:v>
      </x:c>
      <x:c r="D907" s="103" t="str">
        <x:v>ID-221223497957</x:v>
      </x:c>
      <x:c r="E907" s="112" t="str">
        <x:v>[펌]글쓰는 이론이 뭐니 무슨 소리가 나와도 좋은 글을 쓰는 방법은...</x:v>
      </x:c>
      <x:c r="F907" s="112" t="str">
        <x:v>웹소작법</x:v>
      </x:c>
      <x:c r="G907" s="112" t="str">
        <x:v>웹소설 직접</x:v>
      </x:c>
      <x:c r="H907" s="112" t="str">
        <x:v>작법·상업성</x:v>
      </x:c>
      <x:c r="I907" s="112" t="n">
        <x:v>7</x:v>
      </x:c>
      <x:c r="J907" s="112" t="str">
        <x:v>재미, 독자, 클리셰, 작법</x:v>
      </x:c>
      <x:c r="K907" s="112" t="str">
        <x:v>재게시</x:v>
      </x:c>
      <x:c r="L907" s="112" t="str">
        <x:v>높음</x:v>
      </x:c>
      <x:c r="M907" s="112" t="str">
        <x:v>제목의 펌/퍼옴 표시</x:v>
      </x:c>
      <x:c r="N907" s="116" t="str">
        <x:v>http://gall.dcinside.com/board/view/?id=web_fic&amp;no=7684&amp;page=1&amp;search_pos=-10508&amp;s_type=search_all&amp;s_keyword=%ED%81%B4%EB%A6%AC%EC%85%B0</x:v>
      </x:c>
      <x:c r="O907" s="116" t="str">
        <x:v>https://m.blog.naver.com/sntu2010/221223497957</x:v>
      </x:c>
      <x:c r="P907" s="112" t="str">
        <x:v>예</x:v>
      </x:c>
      <x:c r="Q907" s="113" t="str">
        <x:v>자동 분류·표본 검토 대상</x:v>
      </x:c>
    </x:row>
    <x:row r="908">
      <x:c r="A908" s="100" t="n">
        <x:v>907</x:v>
      </x:c>
      <x:c r="B908" s="101" t="n">
        <x:v>43163</x:v>
      </x:c>
      <x:c r="C908" s="102" t="n">
        <x:v>2018</x:v>
      </x:c>
      <x:c r="D908" s="103" t="str">
        <x:v>ID-221221805422</x:v>
      </x:c>
      <x:c r="E908" s="112" t="str">
        <x:v>[펌]무협 사전 - 무협소설/용어</x:v>
      </x:c>
      <x:c r="F908" s="112" t="str">
        <x:v>창작소재</x:v>
      </x:c>
      <x:c r="G908" s="112" t="str">
        <x:v>공통 창작소재</x:v>
      </x:c>
      <x:c r="H908" s="112" t="str">
        <x:v>작법·상업성</x:v>
      </x:c>
      <x:c r="I908" s="112" t="n">
        <x:v>1</x:v>
      </x:c>
      <x:c r="J908" s="112" t="str">
        <x:v>소재</x:v>
      </x:c>
      <x:c r="K908" s="112" t="str">
        <x:v>재게시</x:v>
      </x:c>
      <x:c r="L908" s="112" t="str">
        <x:v>높음</x:v>
      </x:c>
      <x:c r="M908" s="112" t="str">
        <x:v>제목의 펌/퍼옴 표시</x:v>
      </x:c>
      <x:c r="N908" s="116" t="str"/>
      <x:c r="O908" s="116" t="str">
        <x:v>https://m.blog.naver.com/sntu2010/221221805422</x:v>
      </x:c>
      <x:c r="P908" s="112" t="str">
        <x:v>아니오</x:v>
      </x:c>
      <x:c r="Q908" s="113" t="str">
        <x:v>자동 분류·표본 검토 대상</x:v>
      </x:c>
    </x:row>
    <x:row r="909">
      <x:c r="A909" s="100" t="n">
        <x:v>908</x:v>
      </x:c>
      <x:c r="B909" s="101" t="n">
        <x:v>43163</x:v>
      </x:c>
      <x:c r="C909" s="102" t="n">
        <x:v>2018</x:v>
      </x:c>
      <x:c r="D909" s="103" t="str">
        <x:v>ID-221221804981</x:v>
      </x:c>
      <x:c r="E909" s="112" t="str">
        <x:v>[펌]무협 사전 - 선천진기</x:v>
      </x:c>
      <x:c r="F909" s="112" t="str">
        <x:v>창작소재</x:v>
      </x:c>
      <x:c r="G909" s="112" t="str">
        <x:v>공통 창작소재</x:v>
      </x:c>
      <x:c r="H909" s="112" t="str">
        <x:v>캐릭터·전개</x:v>
      </x:c>
      <x:c r="I909" s="112" t="n">
        <x:v>5</x:v>
      </x:c>
      <x:c r="J909" s="112" t="str">
        <x:v>인물, 주인공, 전개</x:v>
      </x:c>
      <x:c r="K909" s="112" t="str">
        <x:v>재게시</x:v>
      </x:c>
      <x:c r="L909" s="112" t="str">
        <x:v>높음</x:v>
      </x:c>
      <x:c r="M909" s="112" t="str">
        <x:v>제목의 펌/퍼옴 표시</x:v>
      </x:c>
      <x:c r="N909" s="116" t="str"/>
      <x:c r="O909" s="116" t="str">
        <x:v>https://m.blog.naver.com/sntu2010/221221804981</x:v>
      </x:c>
      <x:c r="P909" s="112" t="str">
        <x:v>아니오</x:v>
      </x:c>
      <x:c r="Q909" s="113" t="str">
        <x:v>자동 분류·표본 검토 대상</x:v>
      </x:c>
    </x:row>
    <x:row r="910">
      <x:c r="A910" s="100" t="n">
        <x:v>909</x:v>
      </x:c>
      <x:c r="B910" s="101" t="n">
        <x:v>43158</x:v>
      </x:c>
      <x:c r="C910" s="102" t="n">
        <x:v>2018</x:v>
      </x:c>
      <x:c r="D910" s="103" t="str">
        <x:v>ID-221217575841</x:v>
      </x:c>
      <x:c r="E910" s="112" t="str">
        <x:v>[펌](플롯점검)인간의 마음을 사로잡는 스무가지 플롯</x:v>
      </x:c>
      <x:c r="F910" s="112" t="str">
        <x:v>웹소작법</x:v>
      </x:c>
      <x:c r="G910" s="112" t="str">
        <x:v>웹소설 직접</x:v>
      </x:c>
      <x:c r="H910" s="112" t="str">
        <x:v>캐릭터·전개</x:v>
      </x:c>
      <x:c r="I910" s="112" t="n">
        <x:v>48</x:v>
      </x:c>
      <x:c r="J910" s="112" t="str">
        <x:v>플롯, 사건, 인물, 갈등</x:v>
      </x:c>
      <x:c r="K910" s="112" t="str">
        <x:v>재게시</x:v>
      </x:c>
      <x:c r="L910" s="112" t="str">
        <x:v>높음</x:v>
      </x:c>
      <x:c r="M910" s="112" t="str">
        <x:v>제목의 펌/퍼옴 표시</x:v>
      </x:c>
      <x:c r="N910" s="116" t="str">
        <x:v>http://square.munpia.com/boPds_5/page/8/beSrl/261210</x:v>
      </x:c>
      <x:c r="O910" s="116" t="str">
        <x:v>https://m.blog.naver.com/sntu2010/221217575841</x:v>
      </x:c>
      <x:c r="P910" s="112" t="str">
        <x:v>예</x:v>
      </x:c>
      <x:c r="Q910" s="113" t="str">
        <x:v>자동 분류·표본 검토 대상</x:v>
      </x:c>
    </x:row>
    <x:row r="911">
      <x:c r="A911" s="100" t="n">
        <x:v>910</x:v>
      </x:c>
      <x:c r="B911" s="101" t="n">
        <x:v>43158</x:v>
      </x:c>
      <x:c r="C911" s="102" t="n">
        <x:v>2018</x:v>
      </x:c>
      <x:c r="D911" s="103" t="str">
        <x:v>ID-221217572429</x:v>
      </x:c>
      <x:c r="E911" s="112" t="str">
        <x:v>[펌]무협 사전 - 무공등급과 무술단계</x:v>
      </x:c>
      <x:c r="F911" s="112" t="str">
        <x:v>창작소재</x:v>
      </x:c>
      <x:c r="G911" s="112" t="str">
        <x:v>공통 창작소재</x:v>
      </x:c>
      <x:c r="H911" s="112" t="str">
        <x:v>작법·상업성</x:v>
      </x:c>
      <x:c r="I911" s="112" t="n">
        <x:v>1</x:v>
      </x:c>
      <x:c r="J911" s="112" t="str">
        <x:v>소재</x:v>
      </x:c>
      <x:c r="K911" s="112" t="str">
        <x:v>재게시</x:v>
      </x:c>
      <x:c r="L911" s="112" t="str">
        <x:v>높음</x:v>
      </x:c>
      <x:c r="M911" s="112" t="str">
        <x:v>제목의 펌/퍼옴 표시</x:v>
      </x:c>
      <x:c r="N911" s="116" t="str"/>
      <x:c r="O911" s="116" t="str">
        <x:v>https://m.blog.naver.com/sntu2010/221217572429</x:v>
      </x:c>
      <x:c r="P911" s="112" t="str">
        <x:v>아니오</x:v>
      </x:c>
      <x:c r="Q911" s="113" t="str">
        <x:v>자동 분류·표본 검토 대상</x:v>
      </x:c>
    </x:row>
    <x:row r="912">
      <x:c r="A912" s="100" t="n">
        <x:v>911</x:v>
      </x:c>
      <x:c r="B912" s="101" t="n">
        <x:v>43158</x:v>
      </x:c>
      <x:c r="C912" s="102" t="n">
        <x:v>2018</x:v>
      </x:c>
      <x:c r="D912" s="103" t="str">
        <x:v>ID-221217571708</x:v>
      </x:c>
      <x:c r="E912" s="112" t="str">
        <x:v>[펌]판타지 사전 - 중세시대의 물가</x:v>
      </x:c>
      <x:c r="F912" s="112" t="str">
        <x:v>창작소재</x:v>
      </x:c>
      <x:c r="G912" s="112" t="str">
        <x:v>공통 창작소재</x:v>
      </x:c>
      <x:c r="H912" s="112" t="str">
        <x:v>작법·상업성</x:v>
      </x:c>
      <x:c r="I912" s="112" t="n">
        <x:v>1</x:v>
      </x:c>
      <x:c r="J912" s="112" t="str">
        <x:v>소재</x:v>
      </x:c>
      <x:c r="K912" s="112" t="str">
        <x:v>재게시</x:v>
      </x:c>
      <x:c r="L912" s="112" t="str">
        <x:v>높음</x:v>
      </x:c>
      <x:c r="M912" s="112" t="str">
        <x:v>제목의 펌/퍼옴 표시</x:v>
      </x:c>
      <x:c r="N912" s="116" t="str"/>
      <x:c r="O912" s="116" t="str">
        <x:v>https://m.blog.naver.com/sntu2010/221217571708</x:v>
      </x:c>
      <x:c r="P912" s="112" t="str">
        <x:v>아니오</x:v>
      </x:c>
      <x:c r="Q912" s="113" t="str">
        <x:v>자동 분류·표본 검토 대상</x:v>
      </x:c>
    </x:row>
    <x:row r="913">
      <x:c r="A913" s="100" t="n">
        <x:v>912</x:v>
      </x:c>
      <x:c r="B913" s="101" t="n">
        <x:v>43158</x:v>
      </x:c>
      <x:c r="C913" s="102" t="n">
        <x:v>2018</x:v>
      </x:c>
      <x:c r="D913" s="103" t="str">
        <x:v>ID-221217571288</x:v>
      </x:c>
      <x:c r="E913" s="112" t="str">
        <x:v>[펌]판타지 사전 - 중세시대의 물가(2)</x:v>
      </x:c>
      <x:c r="F913" s="112" t="str">
        <x:v>창작소재</x:v>
      </x:c>
      <x:c r="G913" s="112" t="str">
        <x:v>공통 창작소재</x:v>
      </x:c>
      <x:c r="H913" s="112" t="str">
        <x:v>작법·상업성</x:v>
      </x:c>
      <x:c r="I913" s="112" t="n">
        <x:v>1</x:v>
      </x:c>
      <x:c r="J913" s="112" t="str">
        <x:v>소재</x:v>
      </x:c>
      <x:c r="K913" s="112" t="str">
        <x:v>재게시</x:v>
      </x:c>
      <x:c r="L913" s="112" t="str">
        <x:v>높음</x:v>
      </x:c>
      <x:c r="M913" s="112" t="str">
        <x:v>제목의 펌/퍼옴 표시</x:v>
      </x:c>
      <x:c r="N913" s="116" t="str"/>
      <x:c r="O913" s="116" t="str">
        <x:v>https://m.blog.naver.com/sntu2010/221217571288</x:v>
      </x:c>
      <x:c r="P913" s="112" t="str">
        <x:v>아니오</x:v>
      </x:c>
      <x:c r="Q913" s="113" t="str">
        <x:v>자동 분류·표본 검토 대상</x:v>
      </x:c>
    </x:row>
    <x:row r="914">
      <x:c r="A914" s="100" t="n">
        <x:v>913</x:v>
      </x:c>
      <x:c r="B914" s="101" t="n">
        <x:v>43158</x:v>
      </x:c>
      <x:c r="C914" s="102" t="n">
        <x:v>2018</x:v>
      </x:c>
      <x:c r="D914" s="103" t="str">
        <x:v>ID-221217570820</x:v>
      </x:c>
      <x:c r="E914" s="112" t="str">
        <x:v>[펌]판타지 사전 - 중세 유럽의 물가( 군사비용, 생활비용 등)</x:v>
      </x:c>
      <x:c r="F914" s="112" t="str">
        <x:v>창작소재</x:v>
      </x:c>
      <x:c r="G914" s="112" t="str">
        <x:v>공통 창작소재</x:v>
      </x:c>
      <x:c r="H914" s="112" t="str">
        <x:v>수익·운영</x:v>
      </x:c>
      <x:c r="I914" s="112" t="n">
        <x:v>20</x:v>
      </x:c>
      <x:c r="J914" s="112" t="str">
        <x:v>생활비</x:v>
      </x:c>
      <x:c r="K914" s="112" t="str">
        <x:v>재게시</x:v>
      </x:c>
      <x:c r="L914" s="112" t="str">
        <x:v>높음</x:v>
      </x:c>
      <x:c r="M914" s="112" t="str">
        <x:v>제목의 펌/퍼옴 표시</x:v>
      </x:c>
      <x:c r="N914" s="116" t="str"/>
      <x:c r="O914" s="116" t="str">
        <x:v>https://m.blog.naver.com/sntu2010/221217570820</x:v>
      </x:c>
      <x:c r="P914" s="112" t="str">
        <x:v>아니오</x:v>
      </x:c>
      <x:c r="Q914" s="113" t="str">
        <x:v>자동 분류·표본 검토 대상</x:v>
      </x:c>
    </x:row>
    <x:row r="915">
      <x:c r="A915" s="100" t="n">
        <x:v>914</x:v>
      </x:c>
      <x:c r="B915" s="101" t="n">
        <x:v>43158</x:v>
      </x:c>
      <x:c r="C915" s="102" t="n">
        <x:v>2018</x:v>
      </x:c>
      <x:c r="D915" s="103" t="str">
        <x:v>ID-221217567842</x:v>
      </x:c>
      <x:c r="E915" s="112" t="str">
        <x:v>[펌]판타지 사전 - 마법사 세계 용어(판타지 설정상)</x:v>
      </x:c>
      <x:c r="F915" s="112" t="str">
        <x:v>창작소재</x:v>
      </x:c>
      <x:c r="G915" s="112" t="str">
        <x:v>공통 창작소재</x:v>
      </x:c>
      <x:c r="H915" s="112" t="str">
        <x:v>작법·상업성</x:v>
      </x:c>
      <x:c r="I915" s="112" t="n">
        <x:v>21</x:v>
      </x:c>
      <x:c r="J915" s="112" t="str">
        <x:v>설정, 소재</x:v>
      </x:c>
      <x:c r="K915" s="112" t="str">
        <x:v>재게시</x:v>
      </x:c>
      <x:c r="L915" s="112" t="str">
        <x:v>높음</x:v>
      </x:c>
      <x:c r="M915" s="112" t="str">
        <x:v>제목의 펌/퍼옴 표시</x:v>
      </x:c>
      <x:c r="N915" s="116" t="str"/>
      <x:c r="O915" s="116" t="str">
        <x:v>https://m.blog.naver.com/sntu2010/221217567842</x:v>
      </x:c>
      <x:c r="P915" s="112" t="str">
        <x:v>아니오</x:v>
      </x:c>
      <x:c r="Q915" s="113" t="str">
        <x:v>자동 분류·표본 검토 대상</x:v>
      </x:c>
    </x:row>
    <x:row r="916">
      <x:c r="A916" s="100" t="n">
        <x:v>915</x:v>
      </x:c>
      <x:c r="B916" s="101" t="n">
        <x:v>43158</x:v>
      </x:c>
      <x:c r="C916" s="102" t="n">
        <x:v>2018</x:v>
      </x:c>
      <x:c r="D916" s="103" t="str">
        <x:v>ID-221217567001</x:v>
      </x:c>
      <x:c r="E916" s="112" t="str">
        <x:v>[펌]판타지 사전 - 성직자 마법</x:v>
      </x:c>
      <x:c r="F916" s="112" t="str">
        <x:v>창작소재</x:v>
      </x:c>
      <x:c r="G916" s="112" t="str">
        <x:v>공통 창작소재</x:v>
      </x:c>
      <x:c r="H916" s="112" t="str">
        <x:v>작법·상업성</x:v>
      </x:c>
      <x:c r="I916" s="112" t="n">
        <x:v>1</x:v>
      </x:c>
      <x:c r="J916" s="112" t="str">
        <x:v>소재</x:v>
      </x:c>
      <x:c r="K916" s="112" t="str">
        <x:v>재게시</x:v>
      </x:c>
      <x:c r="L916" s="112" t="str">
        <x:v>높음</x:v>
      </x:c>
      <x:c r="M916" s="112" t="str">
        <x:v>제목의 펌/퍼옴 표시</x:v>
      </x:c>
      <x:c r="N916" s="116" t="str"/>
      <x:c r="O916" s="116" t="str">
        <x:v>https://m.blog.naver.com/sntu2010/221217567001</x:v>
      </x:c>
      <x:c r="P916" s="112" t="str">
        <x:v>아니오</x:v>
      </x:c>
      <x:c r="Q916" s="113" t="str">
        <x:v>자동 분류·표본 검토 대상</x:v>
      </x:c>
    </x:row>
    <x:row r="917">
      <x:c r="A917" s="100" t="n">
        <x:v>916</x:v>
      </x:c>
      <x:c r="B917" s="101" t="n">
        <x:v>43158</x:v>
      </x:c>
      <x:c r="C917" s="102" t="n">
        <x:v>2018</x:v>
      </x:c>
      <x:c r="D917" s="103" t="str">
        <x:v>ID-221217566405</x:v>
      </x:c>
      <x:c r="E917" s="112" t="str">
        <x:v>[펌]판타지 사전 - 룬 문자</x:v>
      </x:c>
      <x:c r="F917" s="112" t="str">
        <x:v>창작소재</x:v>
      </x:c>
      <x:c r="G917" s="112" t="str">
        <x:v>공통 창작소재</x:v>
      </x:c>
      <x:c r="H917" s="112" t="str">
        <x:v>캐릭터·전개</x:v>
      </x:c>
      <x:c r="I917" s="112" t="n">
        <x:v>1</x:v>
      </x:c>
      <x:c r="J917" s="112" t="str">
        <x:v>관계</x:v>
      </x:c>
      <x:c r="K917" s="112" t="str">
        <x:v>재게시</x:v>
      </x:c>
      <x:c r="L917" s="112" t="str">
        <x:v>높음</x:v>
      </x:c>
      <x:c r="M917" s="112" t="str">
        <x:v>제목의 펌/퍼옴 표시</x:v>
      </x:c>
      <x:c r="N917" s="116" t="str"/>
      <x:c r="O917" s="116" t="str">
        <x:v>https://m.blog.naver.com/sntu2010/221217566405</x:v>
      </x:c>
      <x:c r="P917" s="112" t="str">
        <x:v>아니오</x:v>
      </x:c>
      <x:c r="Q917" s="113" t="str">
        <x:v>자동 분류·표본 검토 대상</x:v>
      </x:c>
    </x:row>
    <x:row r="918">
      <x:c r="A918" s="100" t="n">
        <x:v>917</x:v>
      </x:c>
      <x:c r="B918" s="101" t="n">
        <x:v>43158</x:v>
      </x:c>
      <x:c r="C918" s="102" t="n">
        <x:v>2018</x:v>
      </x:c>
      <x:c r="D918" s="103" t="str">
        <x:v>ID-221217566084</x:v>
      </x:c>
      <x:c r="E918" s="112" t="str">
        <x:v>[펌]판타지 사전 - 룬 석</x:v>
      </x:c>
      <x:c r="F918" s="112" t="str">
        <x:v>창작소재</x:v>
      </x:c>
      <x:c r="G918" s="112" t="str">
        <x:v>공통 창작소재</x:v>
      </x:c>
      <x:c r="H918" s="112" t="str">
        <x:v>작법·상업성</x:v>
      </x:c>
      <x:c r="I918" s="112" t="n">
        <x:v>1</x:v>
      </x:c>
      <x:c r="J918" s="112" t="str">
        <x:v>소재</x:v>
      </x:c>
      <x:c r="K918" s="112" t="str">
        <x:v>재게시</x:v>
      </x:c>
      <x:c r="L918" s="112" t="str">
        <x:v>높음</x:v>
      </x:c>
      <x:c r="M918" s="112" t="str">
        <x:v>제목의 펌/퍼옴 표시</x:v>
      </x:c>
      <x:c r="N918" s="116" t="str"/>
      <x:c r="O918" s="116" t="str">
        <x:v>https://m.blog.naver.com/sntu2010/221217566084</x:v>
      </x:c>
      <x:c r="P918" s="112" t="str">
        <x:v>아니오</x:v>
      </x:c>
      <x:c r="Q918" s="113" t="str">
        <x:v>자동 분류·표본 검토 대상</x:v>
      </x:c>
    </x:row>
    <x:row r="919">
      <x:c r="A919" s="100" t="n">
        <x:v>918</x:v>
      </x:c>
      <x:c r="B919" s="101" t="n">
        <x:v>43158</x:v>
      </x:c>
      <x:c r="C919" s="102" t="n">
        <x:v>2018</x:v>
      </x:c>
      <x:c r="D919" s="103" t="str">
        <x:v>ID-221217565146</x:v>
      </x:c>
      <x:c r="E919" s="112" t="str">
        <x:v>[펌]판타지 사전 - 정령 계보표</x:v>
      </x:c>
      <x:c r="F919" s="112" t="str">
        <x:v>창작소재</x:v>
      </x:c>
      <x:c r="G919" s="112" t="str">
        <x:v>공통 창작소재</x:v>
      </x:c>
      <x:c r="H919" s="112" t="str">
        <x:v>작법·상업성</x:v>
      </x:c>
      <x:c r="I919" s="112" t="n">
        <x:v>1</x:v>
      </x:c>
      <x:c r="J919" s="112" t="str">
        <x:v>소재</x:v>
      </x:c>
      <x:c r="K919" s="112" t="str">
        <x:v>재게시</x:v>
      </x:c>
      <x:c r="L919" s="112" t="str">
        <x:v>높음</x:v>
      </x:c>
      <x:c r="M919" s="112" t="str">
        <x:v>제목의 펌/퍼옴 표시</x:v>
      </x:c>
      <x:c r="N919" s="116" t="str">
        <x:v>http://square.munpia.com/boPds_6/page/14/beSrl/242637</x:v>
      </x:c>
      <x:c r="O919" s="116" t="str">
        <x:v>https://m.blog.naver.com/sntu2010/221217565146</x:v>
      </x:c>
      <x:c r="P919" s="112" t="str">
        <x:v>아니오</x:v>
      </x:c>
      <x:c r="Q919" s="113" t="str">
        <x:v>자동 분류·표본 검토 대상</x:v>
      </x:c>
    </x:row>
    <x:row r="920">
      <x:c r="A920" s="100" t="n">
        <x:v>919</x:v>
      </x:c>
      <x:c r="B920" s="101" t="n">
        <x:v>43158</x:v>
      </x:c>
      <x:c r="C920" s="102" t="n">
        <x:v>2018</x:v>
      </x:c>
      <x:c r="D920" s="103" t="str">
        <x:v>ID-221217564018</x:v>
      </x:c>
      <x:c r="E920" s="112" t="str">
        <x:v>[펌]판타지 사전 - 설정 도우미 판타지속 물가 1골드의 가치</x:v>
      </x:c>
      <x:c r="F920" s="112" t="str">
        <x:v>창작소재</x:v>
      </x:c>
      <x:c r="G920" s="112" t="str">
        <x:v>공통 창작소재</x:v>
      </x:c>
      <x:c r="H920" s="112" t="str">
        <x:v>작법·상업성</x:v>
      </x:c>
      <x:c r="I920" s="112" t="n">
        <x:v>23</x:v>
      </x:c>
      <x:c r="J920" s="112" t="str">
        <x:v>설정, 소재</x:v>
      </x:c>
      <x:c r="K920" s="112" t="str">
        <x:v>재게시</x:v>
      </x:c>
      <x:c r="L920" s="112" t="str">
        <x:v>높음</x:v>
      </x:c>
      <x:c r="M920" s="112" t="str">
        <x:v>제목의 펌/퍼옴 표시</x:v>
      </x:c>
      <x:c r="N920" s="116" t="str"/>
      <x:c r="O920" s="116" t="str">
        <x:v>https://m.blog.naver.com/sntu2010/221217564018</x:v>
      </x:c>
      <x:c r="P920" s="112" t="str">
        <x:v>아니오</x:v>
      </x:c>
      <x:c r="Q920" s="113" t="str">
        <x:v>자동 분류·표본 검토 대상</x:v>
      </x:c>
    </x:row>
    <x:row r="921">
      <x:c r="A921" s="100" t="n">
        <x:v>920</x:v>
      </x:c>
      <x:c r="B921" s="101" t="n">
        <x:v>43158</x:v>
      </x:c>
      <x:c r="C921" s="102" t="n">
        <x:v>2018</x:v>
      </x:c>
      <x:c r="D921" s="103" t="str">
        <x:v>ID-221217563519</x:v>
      </x:c>
      <x:c r="E921" s="112" t="str">
        <x:v>[펌]판타지 사전 - RPG 몬스터 백과사전</x:v>
      </x:c>
      <x:c r="F921" s="112" t="str">
        <x:v>창작소재</x:v>
      </x:c>
      <x:c r="G921" s="112" t="str">
        <x:v>공통 창작소재</x:v>
      </x:c>
      <x:c r="H921" s="112" t="str">
        <x:v>작법·상업성</x:v>
      </x:c>
      <x:c r="I921" s="112" t="n">
        <x:v>1</x:v>
      </x:c>
      <x:c r="J921" s="112" t="str">
        <x:v>소재</x:v>
      </x:c>
      <x:c r="K921" s="112" t="str">
        <x:v>재게시</x:v>
      </x:c>
      <x:c r="L921" s="112" t="str">
        <x:v>높음</x:v>
      </x:c>
      <x:c r="M921" s="112" t="str">
        <x:v>제목의 펌/퍼옴 표시</x:v>
      </x:c>
      <x:c r="N921" s="116" t="str"/>
      <x:c r="O921" s="116" t="str">
        <x:v>https://m.blog.naver.com/sntu2010/221217563519</x:v>
      </x:c>
      <x:c r="P921" s="112" t="str">
        <x:v>아니오</x:v>
      </x:c>
      <x:c r="Q921" s="113" t="str">
        <x:v>자동 분류·표본 검토 대상</x:v>
      </x:c>
    </x:row>
    <x:row r="922">
      <x:c r="A922" s="100" t="n">
        <x:v>921</x:v>
      </x:c>
      <x:c r="B922" s="101" t="n">
        <x:v>43158</x:v>
      </x:c>
      <x:c r="C922" s="102" t="n">
        <x:v>2018</x:v>
      </x:c>
      <x:c r="D922" s="103" t="str">
        <x:v>ID-221217562577</x:v>
      </x:c>
      <x:c r="E922" s="112" t="str">
        <x:v>[펌]판타지 사전 - 판타지에 나오는 종족들의 정석</x:v>
      </x:c>
      <x:c r="F922" s="112" t="str">
        <x:v>창작소재</x:v>
      </x:c>
      <x:c r="G922" s="112" t="str">
        <x:v>공통 창작소재</x:v>
      </x:c>
      <x:c r="H922" s="112" t="str">
        <x:v>수익·운영</x:v>
      </x:c>
      <x:c r="I922" s="112" t="n">
        <x:v>1</x:v>
      </x:c>
      <x:c r="J922" s="112" t="str">
        <x:v>멘탈</x:v>
      </x:c>
      <x:c r="K922" s="112" t="str">
        <x:v>재게시</x:v>
      </x:c>
      <x:c r="L922" s="112" t="str">
        <x:v>높음</x:v>
      </x:c>
      <x:c r="M922" s="112" t="str">
        <x:v>제목의 펌/퍼옴 표시</x:v>
      </x:c>
      <x:c r="N922" s="116" t="str"/>
      <x:c r="O922" s="116" t="str">
        <x:v>https://m.blog.naver.com/sntu2010/221217562577</x:v>
      </x:c>
      <x:c r="P922" s="112" t="str">
        <x:v>아니오</x:v>
      </x:c>
      <x:c r="Q922" s="113" t="str">
        <x:v>자동 분류·표본 검토 대상</x:v>
      </x:c>
    </x:row>
    <x:row r="923">
      <x:c r="A923" s="100" t="n">
        <x:v>922</x:v>
      </x:c>
      <x:c r="B923" s="101" t="n">
        <x:v>43158</x:v>
      </x:c>
      <x:c r="C923" s="102" t="n">
        <x:v>2018</x:v>
      </x:c>
      <x:c r="D923" s="103" t="str">
        <x:v>ID-221217562102</x:v>
      </x:c>
      <x:c r="E923" s="112" t="str">
        <x:v>[펌]판타지 사전 - 솔로몬의 72마신</x:v>
      </x:c>
      <x:c r="F923" s="112" t="str">
        <x:v>창작소재</x:v>
      </x:c>
      <x:c r="G923" s="112" t="str">
        <x:v>공통 창작소재</x:v>
      </x:c>
      <x:c r="H923" s="112" t="str">
        <x:v>작법·상업성</x:v>
      </x:c>
      <x:c r="I923" s="112" t="n">
        <x:v>1</x:v>
      </x:c>
      <x:c r="J923" s="112" t="str">
        <x:v>소재</x:v>
      </x:c>
      <x:c r="K923" s="112" t="str">
        <x:v>재게시</x:v>
      </x:c>
      <x:c r="L923" s="112" t="str">
        <x:v>높음</x:v>
      </x:c>
      <x:c r="M923" s="112" t="str">
        <x:v>제목의 펌/퍼옴 표시</x:v>
      </x:c>
      <x:c r="N923" s="116" t="str"/>
      <x:c r="O923" s="116" t="str">
        <x:v>https://m.blog.naver.com/sntu2010/221217562102</x:v>
      </x:c>
      <x:c r="P923" s="112" t="str">
        <x:v>아니오</x:v>
      </x:c>
      <x:c r="Q923" s="113" t="str">
        <x:v>자동 분류·표본 검토 대상</x:v>
      </x:c>
    </x:row>
    <x:row r="924">
      <x:c r="A924" s="100" t="n">
        <x:v>923</x:v>
      </x:c>
      <x:c r="B924" s="101" t="n">
        <x:v>43158</x:v>
      </x:c>
      <x:c r="C924" s="102" t="n">
        <x:v>2018</x:v>
      </x:c>
      <x:c r="D924" s="103" t="str">
        <x:v>ID-221217561773</x:v>
      </x:c>
      <x:c r="E924" s="112" t="str">
        <x:v>[펌]판타지 소설의 상식중의 상식</x:v>
      </x:c>
      <x:c r="F924" s="112" t="str">
        <x:v>웹소작법</x:v>
      </x:c>
      <x:c r="G924" s="112" t="str">
        <x:v>웹소설 직접</x:v>
      </x:c>
      <x:c r="H924" s="112" t="str">
        <x:v>캐릭터·전개</x:v>
      </x:c>
      <x:c r="I924" s="112" t="n">
        <x:v>8</x:v>
      </x:c>
      <x:c r="J924" s="112" t="str">
        <x:v>시점, 캐릭터, 주인공</x:v>
      </x:c>
      <x:c r="K924" s="112" t="str">
        <x:v>재게시</x:v>
      </x:c>
      <x:c r="L924" s="112" t="str">
        <x:v>높음</x:v>
      </x:c>
      <x:c r="M924" s="112" t="str">
        <x:v>제목의 펌/퍼옴 표시</x:v>
      </x:c>
      <x:c r="N924" s="116" t="str">
        <x:v>http://square.munpia.com/boPds_6/page/12/beSrl/335461</x:v>
      </x:c>
      <x:c r="O924" s="116" t="str">
        <x:v>https://m.blog.naver.com/sntu2010/221217561773</x:v>
      </x:c>
      <x:c r="P924" s="112" t="str">
        <x:v>예</x:v>
      </x:c>
      <x:c r="Q924" s="113" t="str">
        <x:v>자동 분류·표본 검토 대상</x:v>
      </x:c>
    </x:row>
    <x:row r="925">
      <x:c r="A925" s="100" t="n">
        <x:v>924</x:v>
      </x:c>
      <x:c r="B925" s="101" t="n">
        <x:v>43158</x:v>
      </x:c>
      <x:c r="C925" s="102" t="n">
        <x:v>2018</x:v>
      </x:c>
      <x:c r="D925" s="103" t="str">
        <x:v>ID-221217561062</x:v>
      </x:c>
      <x:c r="E925" s="112" t="str">
        <x:v>[펌]판타지 사전 - 정령, 정령마법, 마법, 종족, 12계중 몇, 12신중 몇.</x:v>
      </x:c>
      <x:c r="F925" s="112" t="str">
        <x:v>창작소재</x:v>
      </x:c>
      <x:c r="G925" s="112" t="str">
        <x:v>공통 창작소재</x:v>
      </x:c>
      <x:c r="H925" s="112" t="str">
        <x:v>작법·상업성</x:v>
      </x:c>
      <x:c r="I925" s="112" t="n">
        <x:v>1</x:v>
      </x:c>
      <x:c r="J925" s="112" t="str">
        <x:v>소재</x:v>
      </x:c>
      <x:c r="K925" s="112" t="str">
        <x:v>재게시</x:v>
      </x:c>
      <x:c r="L925" s="112" t="str">
        <x:v>높음</x:v>
      </x:c>
      <x:c r="M925" s="112" t="str">
        <x:v>제목의 펌/퍼옴 표시</x:v>
      </x:c>
      <x:c r="N925" s="116" t="str"/>
      <x:c r="O925" s="116" t="str">
        <x:v>https://m.blog.naver.com/sntu2010/221217561062</x:v>
      </x:c>
      <x:c r="P925" s="112" t="str">
        <x:v>아니오</x:v>
      </x:c>
      <x:c r="Q925" s="113" t="str">
        <x:v>자동 분류·표본 검토 대상</x:v>
      </x:c>
    </x:row>
    <x:row r="926">
      <x:c r="A926" s="100" t="n">
        <x:v>925</x:v>
      </x:c>
      <x:c r="B926" s="101" t="n">
        <x:v>43158</x:v>
      </x:c>
      <x:c r="C926" s="102" t="n">
        <x:v>2018</x:v>
      </x:c>
      <x:c r="D926" s="103" t="str">
        <x:v>ID-221217560578</x:v>
      </x:c>
      <x:c r="E926" s="112" t="str">
        <x:v>[펌]창작 사전 - 전투관련 총체적 도우미 '제갈량 44가지 병법'포함</x:v>
      </x:c>
      <x:c r="F926" s="112" t="str">
        <x:v>창작소재</x:v>
      </x:c>
      <x:c r="G926" s="112" t="str">
        <x:v>공통 창작소재</x:v>
      </x:c>
      <x:c r="H926" s="112" t="str">
        <x:v>작법·상업성</x:v>
      </x:c>
      <x:c r="I926" s="112" t="n">
        <x:v>1</x:v>
      </x:c>
      <x:c r="J926" s="112" t="str">
        <x:v>소재</x:v>
      </x:c>
      <x:c r="K926" s="112" t="str">
        <x:v>재게시</x:v>
      </x:c>
      <x:c r="L926" s="112" t="str">
        <x:v>높음</x:v>
      </x:c>
      <x:c r="M926" s="112" t="str">
        <x:v>제목의 펌/퍼옴 표시</x:v>
      </x:c>
      <x:c r="N926" s="116" t="str"/>
      <x:c r="O926" s="116" t="str">
        <x:v>https://m.blog.naver.com/sntu2010/221217560578</x:v>
      </x:c>
      <x:c r="P926" s="112" t="str">
        <x:v>아니오</x:v>
      </x:c>
      <x:c r="Q926" s="113" t="str">
        <x:v>자동 분류·표본 검토 대상</x:v>
      </x:c>
    </x:row>
    <x:row r="927">
      <x:c r="A927" s="100" t="n">
        <x:v>926</x:v>
      </x:c>
      <x:c r="B927" s="101" t="n">
        <x:v>43158</x:v>
      </x:c>
      <x:c r="C927" s="102" t="n">
        <x:v>2018</x:v>
      </x:c>
      <x:c r="D927" s="103" t="str">
        <x:v>ID-221217559951</x:v>
      </x:c>
      <x:c r="E927" s="112" t="str">
        <x:v>[펌]판타지 사전 - 봉건사회</x:v>
      </x:c>
      <x:c r="F927" s="112" t="str">
        <x:v>창작소재</x:v>
      </x:c>
      <x:c r="G927" s="112" t="str">
        <x:v>공통 창작소재</x:v>
      </x:c>
      <x:c r="H927" s="112" t="str">
        <x:v>플랫폼·투고·계약</x:v>
      </x:c>
      <x:c r="I927" s="112" t="n">
        <x:v>2</x:v>
      </x:c>
      <x:c r="J927" s="112" t="str">
        <x:v>계약</x:v>
      </x:c>
      <x:c r="K927" s="112" t="str">
        <x:v>재게시</x:v>
      </x:c>
      <x:c r="L927" s="112" t="str">
        <x:v>높음</x:v>
      </x:c>
      <x:c r="M927" s="112" t="str">
        <x:v>제목의 펌/퍼옴 표시</x:v>
      </x:c>
      <x:c r="N927" s="116" t="str"/>
      <x:c r="O927" s="116" t="str">
        <x:v>https://m.blog.naver.com/sntu2010/221217559951</x:v>
      </x:c>
      <x:c r="P927" s="112" t="str">
        <x:v>아니오</x:v>
      </x:c>
      <x:c r="Q927" s="113" t="str">
        <x:v>자동 분류·표본 검토 대상</x:v>
      </x:c>
    </x:row>
    <x:row r="928">
      <x:c r="A928" s="100" t="n">
        <x:v>927</x:v>
      </x:c>
      <x:c r="B928" s="101" t="n">
        <x:v>43158</x:v>
      </x:c>
      <x:c r="C928" s="102" t="n">
        <x:v>2018</x:v>
      </x:c>
      <x:c r="D928" s="103" t="str">
        <x:v>ID-221217558799</x:v>
      </x:c>
      <x:c r="E928" s="112" t="str">
        <x:v>[펌]판타지 사전 - 몬스터 - 신화속 괴물</x:v>
      </x:c>
      <x:c r="F928" s="112" t="str">
        <x:v>창작소재</x:v>
      </x:c>
      <x:c r="G928" s="112" t="str">
        <x:v>공통 창작소재</x:v>
      </x:c>
      <x:c r="H928" s="112" t="str">
        <x:v>작법·상업성</x:v>
      </x:c>
      <x:c r="I928" s="112" t="n">
        <x:v>1</x:v>
      </x:c>
      <x:c r="J928" s="112" t="str">
        <x:v>소재</x:v>
      </x:c>
      <x:c r="K928" s="112" t="str">
        <x:v>재게시</x:v>
      </x:c>
      <x:c r="L928" s="112" t="str">
        <x:v>높음</x:v>
      </x:c>
      <x:c r="M928" s="112" t="str">
        <x:v>제목의 펌/퍼옴 표시</x:v>
      </x:c>
      <x:c r="N928" s="116" t="str"/>
      <x:c r="O928" s="116" t="str">
        <x:v>https://m.blog.naver.com/sntu2010/221217558799</x:v>
      </x:c>
      <x:c r="P928" s="112" t="str">
        <x:v>아니오</x:v>
      </x:c>
      <x:c r="Q928" s="113" t="str">
        <x:v>자동 분류·표본 검토 대상</x:v>
      </x:c>
    </x:row>
    <x:row r="929">
      <x:c r="A929" s="100" t="n">
        <x:v>928</x:v>
      </x:c>
      <x:c r="B929" s="101" t="n">
        <x:v>43158</x:v>
      </x:c>
      <x:c r="C929" s="102" t="n">
        <x:v>2018</x:v>
      </x:c>
      <x:c r="D929" s="103" t="str">
        <x:v>ID-221217558212</x:v>
      </x:c>
      <x:c r="E929" s="112" t="str">
        <x:v>[펌]판타지 사전 - 몬스터 종류</x:v>
      </x:c>
      <x:c r="F929" s="112" t="str">
        <x:v>창작소재</x:v>
      </x:c>
      <x:c r="G929" s="112" t="str">
        <x:v>공통 창작소재</x:v>
      </x:c>
      <x:c r="H929" s="112" t="str">
        <x:v>작법·상업성</x:v>
      </x:c>
      <x:c r="I929" s="112" t="n">
        <x:v>1</x:v>
      </x:c>
      <x:c r="J929" s="112" t="str">
        <x:v>소재</x:v>
      </x:c>
      <x:c r="K929" s="112" t="str">
        <x:v>재게시</x:v>
      </x:c>
      <x:c r="L929" s="112" t="str">
        <x:v>높음</x:v>
      </x:c>
      <x:c r="M929" s="112" t="str">
        <x:v>제목의 펌/퍼옴 표시</x:v>
      </x:c>
      <x:c r="N929" s="116" t="str"/>
      <x:c r="O929" s="116" t="str">
        <x:v>https://m.blog.naver.com/sntu2010/221217558212</x:v>
      </x:c>
      <x:c r="P929" s="112" t="str">
        <x:v>아니오</x:v>
      </x:c>
      <x:c r="Q929" s="113" t="str">
        <x:v>자동 분류·표본 검토 대상</x:v>
      </x:c>
    </x:row>
    <x:row r="930">
      <x:c r="A930" s="100" t="n">
        <x:v>929</x:v>
      </x:c>
      <x:c r="B930" s="101" t="n">
        <x:v>43158</x:v>
      </x:c>
      <x:c r="C930" s="102" t="n">
        <x:v>2018</x:v>
      </x:c>
      <x:c r="D930" s="103" t="str">
        <x:v>ID-221217554938</x:v>
      </x:c>
      <x:c r="E930" s="112" t="str">
        <x:v>[펌]창작 사전 - 등장인물 한국 이름 작법</x:v>
      </x:c>
      <x:c r="F930" s="112" t="str">
        <x:v>창작소재</x:v>
      </x:c>
      <x:c r="G930" s="112" t="str">
        <x:v>공통 창작소재</x:v>
      </x:c>
      <x:c r="H930" s="112" t="str">
        <x:v>작법·상업성</x:v>
      </x:c>
      <x:c r="I930" s="112" t="n">
        <x:v>21</x:v>
      </x:c>
      <x:c r="J930" s="112" t="str">
        <x:v>작법, 소재</x:v>
      </x:c>
      <x:c r="K930" s="112" t="str">
        <x:v>재게시</x:v>
      </x:c>
      <x:c r="L930" s="112" t="str">
        <x:v>높음</x:v>
      </x:c>
      <x:c r="M930" s="112" t="str">
        <x:v>제목의 펌/퍼옴 표시</x:v>
      </x:c>
      <x:c r="N930" s="116" t="str"/>
      <x:c r="O930" s="116" t="str">
        <x:v>https://m.blog.naver.com/sntu2010/221217554938</x:v>
      </x:c>
      <x:c r="P930" s="112" t="str">
        <x:v>아니오</x:v>
      </x:c>
      <x:c r="Q930" s="113" t="str">
        <x:v>자동 분류·표본 검토 대상</x:v>
      </x:c>
    </x:row>
    <x:row r="931">
      <x:c r="A931" s="100" t="n">
        <x:v>930</x:v>
      </x:c>
      <x:c r="B931" s="101" t="n">
        <x:v>43158</x:v>
      </x:c>
      <x:c r="C931" s="102" t="n">
        <x:v>2018</x:v>
      </x:c>
      <x:c r="D931" s="103" t="str">
        <x:v>ID-221217553938</x:v>
      </x:c>
      <x:c r="E931" s="112" t="str">
        <x:v>[펌]작품 기획서</x:v>
      </x:c>
      <x:c r="F931" s="112" t="str">
        <x:v>웹소작법</x:v>
      </x:c>
      <x:c r="G931" s="112" t="str">
        <x:v>웹소설 직접</x:v>
      </x:c>
      <x:c r="H931" s="112" t="str">
        <x:v>작법·상업성</x:v>
      </x:c>
      <x:c r="I931" s="112" t="n">
        <x:v>1</x:v>
      </x:c>
      <x:c r="J931" s="112" t="str">
        <x:v>작법</x:v>
      </x:c>
      <x:c r="K931" s="112" t="str">
        <x:v>재게시</x:v>
      </x:c>
      <x:c r="L931" s="112" t="str">
        <x:v>높음</x:v>
      </x:c>
      <x:c r="M931" s="112" t="str">
        <x:v>제목의 펌/퍼옴 표시</x:v>
      </x:c>
      <x:c r="N931" s="116" t="str"/>
      <x:c r="O931" s="116" t="str">
        <x:v>https://m.blog.naver.com/sntu2010/221217553938</x:v>
      </x:c>
      <x:c r="P931" s="112" t="str">
        <x:v>아니오</x:v>
      </x:c>
      <x:c r="Q931" s="113" t="str">
        <x:v>자동 분류·표본 검토 대상</x:v>
      </x:c>
    </x:row>
    <x:row r="932">
      <x:c r="A932" s="100" t="n">
        <x:v>931</x:v>
      </x:c>
      <x:c r="B932" s="101" t="n">
        <x:v>43158</x:v>
      </x:c>
      <x:c r="C932" s="102" t="n">
        <x:v>2018</x:v>
      </x:c>
      <x:c r="D932" s="103" t="str">
        <x:v>ID-221217552655</x:v>
      </x:c>
      <x:c r="E932" s="112" t="str">
        <x:v>[펌]판타지 사전 - 중세시대 직업분류</x:v>
      </x:c>
      <x:c r="F932" s="112" t="str">
        <x:v>창작소재</x:v>
      </x:c>
      <x:c r="G932" s="112" t="str">
        <x:v>공통 창작소재</x:v>
      </x:c>
      <x:c r="H932" s="112" t="str">
        <x:v>캐릭터·전개</x:v>
      </x:c>
      <x:c r="I932" s="112" t="n">
        <x:v>2</x:v>
      </x:c>
      <x:c r="J932" s="112" t="str">
        <x:v>대사</x:v>
      </x:c>
      <x:c r="K932" s="112" t="str">
        <x:v>재게시</x:v>
      </x:c>
      <x:c r="L932" s="112" t="str">
        <x:v>높음</x:v>
      </x:c>
      <x:c r="M932" s="112" t="str">
        <x:v>제목의 펌/퍼옴 표시</x:v>
      </x:c>
      <x:c r="N932" s="116" t="str"/>
      <x:c r="O932" s="116" t="str">
        <x:v>https://m.blog.naver.com/sntu2010/221217552655</x:v>
      </x:c>
      <x:c r="P932" s="112" t="str">
        <x:v>아니오</x:v>
      </x:c>
      <x:c r="Q932" s="113" t="str">
        <x:v>자동 분류·표본 검토 대상</x:v>
      </x:c>
    </x:row>
    <x:row r="933">
      <x:c r="A933" s="100" t="n">
        <x:v>932</x:v>
      </x:c>
      <x:c r="B933" s="101" t="n">
        <x:v>43158</x:v>
      </x:c>
      <x:c r="C933" s="102" t="n">
        <x:v>2018</x:v>
      </x:c>
      <x:c r="D933" s="103" t="str">
        <x:v>ID-221217552452</x:v>
      </x:c>
      <x:c r="E933" s="112" t="str">
        <x:v>[펌]판타지 사전 - 판타지 소설 이름 만드는 법</x:v>
      </x:c>
      <x:c r="F933" s="112" t="str">
        <x:v>창작소재</x:v>
      </x:c>
      <x:c r="G933" s="112" t="str">
        <x:v>공통 창작소재</x:v>
      </x:c>
      <x:c r="H933" s="112" t="str">
        <x:v>캐릭터·전개</x:v>
      </x:c>
      <x:c r="I933" s="112" t="n">
        <x:v>1</x:v>
      </x:c>
      <x:c r="J933" s="112" t="str">
        <x:v>주인공</x:v>
      </x:c>
      <x:c r="K933" s="112" t="str">
        <x:v>재게시</x:v>
      </x:c>
      <x:c r="L933" s="112" t="str">
        <x:v>높음</x:v>
      </x:c>
      <x:c r="M933" s="112" t="str">
        <x:v>제목의 펌/퍼옴 표시</x:v>
      </x:c>
      <x:c r="N933" s="116" t="str"/>
      <x:c r="O933" s="116" t="str">
        <x:v>https://m.blog.naver.com/sntu2010/221217552452</x:v>
      </x:c>
      <x:c r="P933" s="112" t="str">
        <x:v>아니오</x:v>
      </x:c>
      <x:c r="Q933" s="113" t="str">
        <x:v>자동 분류·표본 검토 대상</x:v>
      </x:c>
    </x:row>
    <x:row r="934">
      <x:c r="A934" s="100" t="n">
        <x:v>933</x:v>
      </x:c>
      <x:c r="B934" s="101" t="n">
        <x:v>43158</x:v>
      </x:c>
      <x:c r="C934" s="102" t="n">
        <x:v>2018</x:v>
      </x:c>
      <x:c r="D934" s="103" t="str">
        <x:v>ID-221217552119</x:v>
      </x:c>
      <x:c r="E934" s="112" t="str">
        <x:v>[펌]판타지 사전 - 성검마검</x:v>
      </x:c>
      <x:c r="F934" s="112" t="str">
        <x:v>창작소재</x:v>
      </x:c>
      <x:c r="G934" s="112" t="str">
        <x:v>공통 창작소재</x:v>
      </x:c>
      <x:c r="H934" s="112" t="str">
        <x:v>작법·상업성</x:v>
      </x:c>
      <x:c r="I934" s="112" t="n">
        <x:v>1</x:v>
      </x:c>
      <x:c r="J934" s="112" t="str">
        <x:v>소재</x:v>
      </x:c>
      <x:c r="K934" s="112" t="str">
        <x:v>재게시</x:v>
      </x:c>
      <x:c r="L934" s="112" t="str">
        <x:v>높음</x:v>
      </x:c>
      <x:c r="M934" s="112" t="str">
        <x:v>제목의 펌/퍼옴 표시</x:v>
      </x:c>
      <x:c r="N934" s="116" t="str"/>
      <x:c r="O934" s="116" t="str">
        <x:v>https://m.blog.naver.com/sntu2010/221217552119</x:v>
      </x:c>
      <x:c r="P934" s="112" t="str">
        <x:v>아니오</x:v>
      </x:c>
      <x:c r="Q934" s="113" t="str">
        <x:v>자동 분류·표본 검토 대상</x:v>
      </x:c>
    </x:row>
    <x:row r="935">
      <x:c r="A935" s="100" t="n">
        <x:v>934</x:v>
      </x:c>
      <x:c r="B935" s="101" t="n">
        <x:v>43158</x:v>
      </x:c>
      <x:c r="C935" s="102" t="n">
        <x:v>2018</x:v>
      </x:c>
      <x:c r="D935" s="103" t="str">
        <x:v>ID-221217551077</x:v>
      </x:c>
      <x:c r="E935" s="112" t="str">
        <x:v>[펌]창작 사전 - 크툴루 세계관</x:v>
      </x:c>
      <x:c r="F935" s="112" t="str">
        <x:v>창작소재</x:v>
      </x:c>
      <x:c r="G935" s="112" t="str">
        <x:v>공통 창작소재</x:v>
      </x:c>
      <x:c r="H935" s="112" t="str">
        <x:v>작법·상업성</x:v>
      </x:c>
      <x:c r="I935" s="112" t="n">
        <x:v>2</x:v>
      </x:c>
      <x:c r="J935" s="112" t="str">
        <x:v>소재</x:v>
      </x:c>
      <x:c r="K935" s="112" t="str">
        <x:v>재게시</x:v>
      </x:c>
      <x:c r="L935" s="112" t="str">
        <x:v>높음</x:v>
      </x:c>
      <x:c r="M935" s="112" t="str">
        <x:v>제목의 펌/퍼옴 표시</x:v>
      </x:c>
      <x:c r="N935" s="116" t="str">
        <x:v>http://square.munpia.com/boPds_6</x:v>
      </x:c>
      <x:c r="O935" s="116" t="str">
        <x:v>https://m.blog.naver.com/sntu2010/221217551077</x:v>
      </x:c>
      <x:c r="P935" s="112" t="str">
        <x:v>아니오</x:v>
      </x:c>
      <x:c r="Q935" s="113" t="str">
        <x:v>자동 분류·표본 검토 대상</x:v>
      </x:c>
    </x:row>
    <x:row r="936">
      <x:c r="A936" s="100" t="n">
        <x:v>935</x:v>
      </x:c>
      <x:c r="B936" s="101" t="n">
        <x:v>43158</x:v>
      </x:c>
      <x:c r="C936" s="102" t="n">
        <x:v>2018</x:v>
      </x:c>
      <x:c r="D936" s="103" t="str">
        <x:v>ID-221217550911</x:v>
      </x:c>
      <x:c r="E936" s="112" t="str">
        <x:v>[펌]창작 사전 - 크툴루 신화 요소</x:v>
      </x:c>
      <x:c r="F936" s="112" t="str">
        <x:v>창작소재</x:v>
      </x:c>
      <x:c r="G936" s="112" t="str">
        <x:v>공통 창작소재</x:v>
      </x:c>
      <x:c r="H936" s="112" t="str">
        <x:v>작법·상업성</x:v>
      </x:c>
      <x:c r="I936" s="112" t="n">
        <x:v>1</x:v>
      </x:c>
      <x:c r="J936" s="112" t="str">
        <x:v>소재</x:v>
      </x:c>
      <x:c r="K936" s="112" t="str">
        <x:v>재게시</x:v>
      </x:c>
      <x:c r="L936" s="112" t="str">
        <x:v>높음</x:v>
      </x:c>
      <x:c r="M936" s="112" t="str">
        <x:v>제목의 펌/퍼옴 표시</x:v>
      </x:c>
      <x:c r="N936" s="116" t="str"/>
      <x:c r="O936" s="116" t="str">
        <x:v>https://m.blog.naver.com/sntu2010/221217550911</x:v>
      </x:c>
      <x:c r="P936" s="112" t="str">
        <x:v>아니오</x:v>
      </x:c>
      <x:c r="Q936" s="113" t="str">
        <x:v>자동 분류·표본 검토 대상</x:v>
      </x:c>
    </x:row>
    <x:row r="937">
      <x:c r="A937" s="100" t="n">
        <x:v>936</x:v>
      </x:c>
      <x:c r="B937" s="101" t="n">
        <x:v>43158</x:v>
      </x:c>
      <x:c r="C937" s="102" t="n">
        <x:v>2018</x:v>
      </x:c>
      <x:c r="D937" s="103" t="str">
        <x:v>ID-221217550528</x:v>
      </x:c>
      <x:c r="E937" s="112" t="str">
        <x:v>[펌]장르소설 쓸 때 염두에 둬야할 것들</x:v>
      </x:c>
      <x:c r="F937" s="112" t="str">
        <x:v>웹소작법</x:v>
      </x:c>
      <x:c r="G937" s="112" t="str">
        <x:v>웹소설 직접</x:v>
      </x:c>
      <x:c r="H937" s="112" t="str">
        <x:v>작법·상업성</x:v>
      </x:c>
      <x:c r="I937" s="112" t="n">
        <x:v>28</x:v>
      </x:c>
      <x:c r="J937" s="112" t="str">
        <x:v>장르, 소재, 설정, 독자, 작법</x:v>
      </x:c>
      <x:c r="K937" s="112" t="str">
        <x:v>재게시</x:v>
      </x:c>
      <x:c r="L937" s="112" t="str">
        <x:v>높음</x:v>
      </x:c>
      <x:c r="M937" s="112" t="str">
        <x:v>제목의 펌/퍼옴 표시</x:v>
      </x:c>
      <x:c r="N937" s="116" t="str"/>
      <x:c r="O937" s="116" t="str">
        <x:v>https://m.blog.naver.com/sntu2010/221217550528</x:v>
      </x:c>
      <x:c r="P937" s="112" t="str">
        <x:v>예</x:v>
      </x:c>
      <x:c r="Q937" s="113" t="str">
        <x:v>자동 분류·표본 검토 대상</x:v>
      </x:c>
    </x:row>
    <x:row r="938">
      <x:c r="A938" s="100" t="n">
        <x:v>937</x:v>
      </x:c>
      <x:c r="B938" s="101" t="n">
        <x:v>43158</x:v>
      </x:c>
      <x:c r="C938" s="102" t="n">
        <x:v>2018</x:v>
      </x:c>
      <x:c r="D938" s="103" t="str">
        <x:v>ID-221217549644</x:v>
      </x:c>
      <x:c r="E938" s="112" t="str">
        <x:v>[펌]판타지 사전 - 마법 8~22써클</x:v>
      </x:c>
      <x:c r="F938" s="112" t="str">
        <x:v>창작소재</x:v>
      </x:c>
      <x:c r="G938" s="112" t="str">
        <x:v>공통 창작소재</x:v>
      </x:c>
      <x:c r="H938" s="112" t="str">
        <x:v>수익·운영</x:v>
      </x:c>
      <x:c r="I938" s="112" t="n">
        <x:v>3</x:v>
      </x:c>
      <x:c r="J938" s="112" t="str">
        <x:v>멘탈</x:v>
      </x:c>
      <x:c r="K938" s="112" t="str">
        <x:v>재게시</x:v>
      </x:c>
      <x:c r="L938" s="112" t="str">
        <x:v>높음</x:v>
      </x:c>
      <x:c r="M938" s="112" t="str">
        <x:v>제목의 펌/퍼옴 표시</x:v>
      </x:c>
      <x:c r="N938" s="116" t="str"/>
      <x:c r="O938" s="116" t="str">
        <x:v>https://m.blog.naver.com/sntu2010/221217549644</x:v>
      </x:c>
      <x:c r="P938" s="112" t="str">
        <x:v>아니오</x:v>
      </x:c>
      <x:c r="Q938" s="113" t="str">
        <x:v>자동 분류·표본 검토 대상</x:v>
      </x:c>
    </x:row>
    <x:row r="939">
      <x:c r="A939" s="100" t="n">
        <x:v>938</x:v>
      </x:c>
      <x:c r="B939" s="101" t="n">
        <x:v>43158</x:v>
      </x:c>
      <x:c r="C939" s="102" t="n">
        <x:v>2018</x:v>
      </x:c>
      <x:c r="D939" s="103" t="str">
        <x:v>ID-221217549322</x:v>
      </x:c>
      <x:c r="E939" s="112" t="str">
        <x:v>[펌]판타지 사전 - 마법 모음(4)</x:v>
      </x:c>
      <x:c r="F939" s="112" t="str">
        <x:v>창작소재</x:v>
      </x:c>
      <x:c r="G939" s="112" t="str">
        <x:v>공통 창작소재</x:v>
      </x:c>
      <x:c r="H939" s="112" t="str">
        <x:v>작법·상업성</x:v>
      </x:c>
      <x:c r="I939" s="112" t="n">
        <x:v>1</x:v>
      </x:c>
      <x:c r="J939" s="112" t="str">
        <x:v>소재</x:v>
      </x:c>
      <x:c r="K939" s="112" t="str">
        <x:v>재게시</x:v>
      </x:c>
      <x:c r="L939" s="112" t="str">
        <x:v>높음</x:v>
      </x:c>
      <x:c r="M939" s="112" t="str">
        <x:v>제목의 펌/퍼옴 표시</x:v>
      </x:c>
      <x:c r="N939" s="116" t="str"/>
      <x:c r="O939" s="116" t="str">
        <x:v>https://m.blog.naver.com/sntu2010/221217549322</x:v>
      </x:c>
      <x:c r="P939" s="112" t="str">
        <x:v>아니오</x:v>
      </x:c>
      <x:c r="Q939" s="113" t="str">
        <x:v>자동 분류·표본 검토 대상</x:v>
      </x:c>
    </x:row>
    <x:row r="940">
      <x:c r="A940" s="100" t="n">
        <x:v>939</x:v>
      </x:c>
      <x:c r="B940" s="101" t="n">
        <x:v>43158</x:v>
      </x:c>
      <x:c r="C940" s="102" t="n">
        <x:v>2018</x:v>
      </x:c>
      <x:c r="D940" s="103" t="str">
        <x:v>ID-221217549142</x:v>
      </x:c>
      <x:c r="E940" s="112" t="str">
        <x:v>[펌]판타지 사전 - 마법 모음(3)</x:v>
      </x:c>
      <x:c r="F940" s="112" t="str">
        <x:v>창작소재</x:v>
      </x:c>
      <x:c r="G940" s="112" t="str">
        <x:v>공통 창작소재</x:v>
      </x:c>
      <x:c r="H940" s="112" t="str">
        <x:v>작법·상업성</x:v>
      </x:c>
      <x:c r="I940" s="112" t="n">
        <x:v>1</x:v>
      </x:c>
      <x:c r="J940" s="112" t="str">
        <x:v>소재</x:v>
      </x:c>
      <x:c r="K940" s="112" t="str">
        <x:v>재게시</x:v>
      </x:c>
      <x:c r="L940" s="112" t="str">
        <x:v>높음</x:v>
      </x:c>
      <x:c r="M940" s="112" t="str">
        <x:v>제목의 펌/퍼옴 표시</x:v>
      </x:c>
      <x:c r="N940" s="116" t="str"/>
      <x:c r="O940" s="116" t="str">
        <x:v>https://m.blog.naver.com/sntu2010/221217549142</x:v>
      </x:c>
      <x:c r="P940" s="112" t="str">
        <x:v>아니오</x:v>
      </x:c>
      <x:c r="Q940" s="113" t="str">
        <x:v>자동 분류·표본 검토 대상</x:v>
      </x:c>
    </x:row>
    <x:row r="941">
      <x:c r="A941" s="100" t="n">
        <x:v>940</x:v>
      </x:c>
      <x:c r="B941" s="101" t="n">
        <x:v>43157</x:v>
      </x:c>
      <x:c r="C941" s="102" t="n">
        <x:v>2018</x:v>
      </x:c>
      <x:c r="D941" s="103" t="str">
        <x:v>ID-221217548921</x:v>
      </x:c>
      <x:c r="E941" s="112" t="str">
        <x:v>[펌]판타지 사전 - 마법 모음(2)</x:v>
      </x:c>
      <x:c r="F941" s="112" t="str">
        <x:v>창작소재</x:v>
      </x:c>
      <x:c r="G941" s="112" t="str">
        <x:v>공통 창작소재</x:v>
      </x:c>
      <x:c r="H941" s="112" t="str">
        <x:v>작법·상업성</x:v>
      </x:c>
      <x:c r="I941" s="112" t="n">
        <x:v>1</x:v>
      </x:c>
      <x:c r="J941" s="112" t="str">
        <x:v>소재</x:v>
      </x:c>
      <x:c r="K941" s="112" t="str">
        <x:v>재게시</x:v>
      </x:c>
      <x:c r="L941" s="112" t="str">
        <x:v>높음</x:v>
      </x:c>
      <x:c r="M941" s="112" t="str">
        <x:v>제목의 펌/퍼옴 표시</x:v>
      </x:c>
      <x:c r="N941" s="116" t="str"/>
      <x:c r="O941" s="116" t="str">
        <x:v>https://m.blog.naver.com/sntu2010/221217548921</x:v>
      </x:c>
      <x:c r="P941" s="112" t="str">
        <x:v>아니오</x:v>
      </x:c>
      <x:c r="Q941" s="113" t="str">
        <x:v>자동 분류·표본 검토 대상</x:v>
      </x:c>
    </x:row>
    <x:row r="942">
      <x:c r="A942" s="100" t="n">
        <x:v>941</x:v>
      </x:c>
      <x:c r="B942" s="101" t="n">
        <x:v>43157</x:v>
      </x:c>
      <x:c r="C942" s="102" t="n">
        <x:v>2018</x:v>
      </x:c>
      <x:c r="D942" s="103" t="str">
        <x:v>ID-221217548702</x:v>
      </x:c>
      <x:c r="E942" s="112" t="str">
        <x:v>[펌]판타지 사전 - 마법 모음</x:v>
      </x:c>
      <x:c r="F942" s="112" t="str">
        <x:v>창작소재</x:v>
      </x:c>
      <x:c r="G942" s="112" t="str">
        <x:v>공통 창작소재</x:v>
      </x:c>
      <x:c r="H942" s="112" t="str">
        <x:v>작법·상업성</x:v>
      </x:c>
      <x:c r="I942" s="112" t="n">
        <x:v>1</x:v>
      </x:c>
      <x:c r="J942" s="112" t="str">
        <x:v>소재</x:v>
      </x:c>
      <x:c r="K942" s="112" t="str">
        <x:v>재게시</x:v>
      </x:c>
      <x:c r="L942" s="112" t="str">
        <x:v>높음</x:v>
      </x:c>
      <x:c r="M942" s="112" t="str">
        <x:v>제목의 펌/퍼옴 표시</x:v>
      </x:c>
      <x:c r="N942" s="116" t="str"/>
      <x:c r="O942" s="116" t="str">
        <x:v>https://m.blog.naver.com/sntu2010/221217548702</x:v>
      </x:c>
      <x:c r="P942" s="112" t="str">
        <x:v>아니오</x:v>
      </x:c>
      <x:c r="Q942" s="113" t="str">
        <x:v>자동 분류·표본 검토 대상</x:v>
      </x:c>
    </x:row>
    <x:row r="943">
      <x:c r="A943" s="100" t="n">
        <x:v>942</x:v>
      </x:c>
      <x:c r="B943" s="101" t="n">
        <x:v>43157</x:v>
      </x:c>
      <x:c r="C943" s="102" t="n">
        <x:v>2018</x:v>
      </x:c>
      <x:c r="D943" s="103" t="str">
        <x:v>ID-221217548549</x:v>
      </x:c>
      <x:c r="E943" s="112" t="str">
        <x:v>[펌]판타지 사전 - 마법 써클별 분류</x:v>
      </x:c>
      <x:c r="F943" s="112" t="str">
        <x:v>창작소재</x:v>
      </x:c>
      <x:c r="G943" s="112" t="str">
        <x:v>공통 창작소재</x:v>
      </x:c>
      <x:c r="H943" s="112" t="str">
        <x:v>작법·상업성</x:v>
      </x:c>
      <x:c r="I943" s="112" t="n">
        <x:v>1</x:v>
      </x:c>
      <x:c r="J943" s="112" t="str">
        <x:v>소재</x:v>
      </x:c>
      <x:c r="K943" s="112" t="str">
        <x:v>재게시</x:v>
      </x:c>
      <x:c r="L943" s="112" t="str">
        <x:v>높음</x:v>
      </x:c>
      <x:c r="M943" s="112" t="str">
        <x:v>제목의 펌/퍼옴 표시</x:v>
      </x:c>
      <x:c r="N943" s="116" t="str"/>
      <x:c r="O943" s="116" t="str">
        <x:v>https://m.blog.naver.com/sntu2010/221217548549</x:v>
      </x:c>
      <x:c r="P943" s="112" t="str">
        <x:v>아니오</x:v>
      </x:c>
      <x:c r="Q943" s="113" t="str">
        <x:v>자동 분류·표본 검토 대상</x:v>
      </x:c>
    </x:row>
    <x:row r="944">
      <x:c r="A944" s="100" t="n">
        <x:v>943</x:v>
      </x:c>
      <x:c r="B944" s="101" t="n">
        <x:v>43157</x:v>
      </x:c>
      <x:c r="C944" s="102" t="n">
        <x:v>2018</x:v>
      </x:c>
      <x:c r="D944" s="103" t="str">
        <x:v>ID-221217548256</x:v>
      </x:c>
      <x:c r="E944" s="112" t="str">
        <x:v>[펌]판타지 사전 - 1~10서클 마법</x:v>
      </x:c>
      <x:c r="F944" s="112" t="str">
        <x:v>창작소재</x:v>
      </x:c>
      <x:c r="G944" s="112" t="str">
        <x:v>공통 창작소재</x:v>
      </x:c>
      <x:c r="H944" s="112" t="str">
        <x:v>캐릭터·전개</x:v>
      </x:c>
      <x:c r="I944" s="112" t="n">
        <x:v>1</x:v>
      </x:c>
      <x:c r="J944" s="112" t="str">
        <x:v>관계</x:v>
      </x:c>
      <x:c r="K944" s="112" t="str">
        <x:v>재게시</x:v>
      </x:c>
      <x:c r="L944" s="112" t="str">
        <x:v>높음</x:v>
      </x:c>
      <x:c r="M944" s="112" t="str">
        <x:v>제목의 펌/퍼옴 표시</x:v>
      </x:c>
      <x:c r="N944" s="116" t="str"/>
      <x:c r="O944" s="116" t="str">
        <x:v>https://m.blog.naver.com/sntu2010/221217548256</x:v>
      </x:c>
      <x:c r="P944" s="112" t="str">
        <x:v>아니오</x:v>
      </x:c>
      <x:c r="Q944" s="113" t="str">
        <x:v>자동 분류·표본 검토 대상</x:v>
      </x:c>
    </x:row>
    <x:row r="945">
      <x:c r="A945" s="100" t="n">
        <x:v>944</x:v>
      </x:c>
      <x:c r="B945" s="101" t="n">
        <x:v>43157</x:v>
      </x:c>
      <x:c r="C945" s="102" t="n">
        <x:v>2018</x:v>
      </x:c>
      <x:c r="D945" s="103" t="str">
        <x:v>ID-221217548015</x:v>
      </x:c>
      <x:c r="E945" s="112" t="str">
        <x:v>[펌]판타지 사전 - 소설속의 마법총정리</x:v>
      </x:c>
      <x:c r="F945" s="112" t="str">
        <x:v>창작소재</x:v>
      </x:c>
      <x:c r="G945" s="112" t="str">
        <x:v>공통 창작소재</x:v>
      </x:c>
      <x:c r="H945" s="112" t="str">
        <x:v>작법·상업성</x:v>
      </x:c>
      <x:c r="I945" s="112" t="n">
        <x:v>2</x:v>
      </x:c>
      <x:c r="J945" s="112" t="str">
        <x:v>제목, 소재</x:v>
      </x:c>
      <x:c r="K945" s="112" t="str">
        <x:v>재게시</x:v>
      </x:c>
      <x:c r="L945" s="112" t="str">
        <x:v>높음</x:v>
      </x:c>
      <x:c r="M945" s="112" t="str">
        <x:v>제목의 펌/퍼옴 표시</x:v>
      </x:c>
      <x:c r="N945" s="116" t="str"/>
      <x:c r="O945" s="116" t="str">
        <x:v>https://m.blog.naver.com/sntu2010/221217548015</x:v>
      </x:c>
      <x:c r="P945" s="112" t="str">
        <x:v>아니오</x:v>
      </x:c>
      <x:c r="Q945" s="113" t="str">
        <x:v>자동 분류·표본 검토 대상</x:v>
      </x:c>
    </x:row>
    <x:row r="946">
      <x:c r="A946" s="100" t="n">
        <x:v>945</x:v>
      </x:c>
      <x:c r="B946" s="101" t="n">
        <x:v>43157</x:v>
      </x:c>
      <x:c r="C946" s="102" t="n">
        <x:v>2018</x:v>
      </x:c>
      <x:c r="D946" s="103" t="str">
        <x:v>ID-221217547843</x:v>
      </x:c>
      <x:c r="E946" s="112" t="str">
        <x:v>[펌]판타지 사전 - 서클별 마법</x:v>
      </x:c>
      <x:c r="F946" s="112" t="str">
        <x:v>창작소재</x:v>
      </x:c>
      <x:c r="G946" s="112" t="str">
        <x:v>공통 창작소재</x:v>
      </x:c>
      <x:c r="H946" s="112" t="str">
        <x:v>작법·상업성</x:v>
      </x:c>
      <x:c r="I946" s="112" t="n">
        <x:v>1</x:v>
      </x:c>
      <x:c r="J946" s="112" t="str">
        <x:v>소재</x:v>
      </x:c>
      <x:c r="K946" s="112" t="str">
        <x:v>재게시</x:v>
      </x:c>
      <x:c r="L946" s="112" t="str">
        <x:v>높음</x:v>
      </x:c>
      <x:c r="M946" s="112" t="str">
        <x:v>제목의 펌/퍼옴 표시</x:v>
      </x:c>
      <x:c r="N946" s="116" t="str"/>
      <x:c r="O946" s="116" t="str">
        <x:v>https://m.blog.naver.com/sntu2010/221217547843</x:v>
      </x:c>
      <x:c r="P946" s="112" t="str">
        <x:v>아니오</x:v>
      </x:c>
      <x:c r="Q946" s="113" t="str">
        <x:v>자동 분류·표본 검토 대상</x:v>
      </x:c>
    </x:row>
    <x:row r="947">
      <x:c r="A947" s="100" t="n">
        <x:v>946</x:v>
      </x:c>
      <x:c r="B947" s="101" t="n">
        <x:v>43157</x:v>
      </x:c>
      <x:c r="C947" s="102" t="n">
        <x:v>2018</x:v>
      </x:c>
      <x:c r="D947" s="103" t="str">
        <x:v>ID-221217547346</x:v>
      </x:c>
      <x:c r="E947" s="112" t="str">
        <x:v>[펌]판타지 사전 - 양판소 사전</x:v>
      </x:c>
      <x:c r="F947" s="112" t="str">
        <x:v>창작소재</x:v>
      </x:c>
      <x:c r="G947" s="112" t="str">
        <x:v>공통 창작소재</x:v>
      </x:c>
      <x:c r="H947" s="112" t="str">
        <x:v>작법·상업성</x:v>
      </x:c>
      <x:c r="I947" s="112" t="n">
        <x:v>1</x:v>
      </x:c>
      <x:c r="J947" s="112" t="str">
        <x:v>소재</x:v>
      </x:c>
      <x:c r="K947" s="112" t="str">
        <x:v>재게시</x:v>
      </x:c>
      <x:c r="L947" s="112" t="str">
        <x:v>높음</x:v>
      </x:c>
      <x:c r="M947" s="112" t="str">
        <x:v>제목의 펌/퍼옴 표시</x:v>
      </x:c>
      <x:c r="N947" s="116" t="str"/>
      <x:c r="O947" s="116" t="str">
        <x:v>https://m.blog.naver.com/sntu2010/221217547346</x:v>
      </x:c>
      <x:c r="P947" s="112" t="str">
        <x:v>아니오</x:v>
      </x:c>
      <x:c r="Q947" s="113" t="str">
        <x:v>자동 분류·표본 검토 대상</x:v>
      </x:c>
    </x:row>
    <x:row r="948">
      <x:c r="A948" s="100" t="n">
        <x:v>947</x:v>
      </x:c>
      <x:c r="B948" s="101" t="n">
        <x:v>43157</x:v>
      </x:c>
      <x:c r="C948" s="102" t="n">
        <x:v>2018</x:v>
      </x:c>
      <x:c r="D948" s="103" t="str">
        <x:v>ID-221217546875</x:v>
      </x:c>
      <x:c r="E948" s="112" t="str">
        <x:v>[펌]무협 사전 - 무협 초식</x:v>
      </x:c>
      <x:c r="F948" s="112" t="str">
        <x:v>창작소재</x:v>
      </x:c>
      <x:c r="G948" s="112" t="str">
        <x:v>공통 창작소재</x:v>
      </x:c>
      <x:c r="H948" s="112" t="str">
        <x:v>작법·상업성</x:v>
      </x:c>
      <x:c r="I948" s="112" t="n">
        <x:v>1</x:v>
      </x:c>
      <x:c r="J948" s="112" t="str">
        <x:v>소재</x:v>
      </x:c>
      <x:c r="K948" s="112" t="str">
        <x:v>재게시</x:v>
      </x:c>
      <x:c r="L948" s="112" t="str">
        <x:v>높음</x:v>
      </x:c>
      <x:c r="M948" s="112" t="str">
        <x:v>제목의 펌/퍼옴 표시</x:v>
      </x:c>
      <x:c r="N948" s="116" t="str"/>
      <x:c r="O948" s="116" t="str">
        <x:v>https://m.blog.naver.com/sntu2010/221217546875</x:v>
      </x:c>
      <x:c r="P948" s="112" t="str">
        <x:v>아니오</x:v>
      </x:c>
      <x:c r="Q948" s="113" t="str">
        <x:v>자동 분류·표본 검토 대상</x:v>
      </x:c>
    </x:row>
    <x:row r="949">
      <x:c r="A949" s="100" t="n">
        <x:v>948</x:v>
      </x:c>
      <x:c r="B949" s="101" t="n">
        <x:v>43157</x:v>
      </x:c>
      <x:c r="C949" s="102" t="n">
        <x:v>2018</x:v>
      </x:c>
      <x:c r="D949" s="103" t="str">
        <x:v>ID-221217546678</x:v>
      </x:c>
      <x:c r="E949" s="112" t="str">
        <x:v>[펌]무협 사전 - 천마 기술</x:v>
      </x:c>
      <x:c r="F949" s="112" t="str">
        <x:v>창작소재</x:v>
      </x:c>
      <x:c r="G949" s="112" t="str">
        <x:v>공통 창작소재</x:v>
      </x:c>
      <x:c r="H949" s="112" t="str">
        <x:v>작법·상업성</x:v>
      </x:c>
      <x:c r="I949" s="112" t="n">
        <x:v>1</x:v>
      </x:c>
      <x:c r="J949" s="112" t="str">
        <x:v>소재</x:v>
      </x:c>
      <x:c r="K949" s="112" t="str">
        <x:v>재게시</x:v>
      </x:c>
      <x:c r="L949" s="112" t="str">
        <x:v>높음</x:v>
      </x:c>
      <x:c r="M949" s="112" t="str">
        <x:v>제목의 펌/퍼옴 표시</x:v>
      </x:c>
      <x:c r="N949" s="116" t="str"/>
      <x:c r="O949" s="116" t="str">
        <x:v>https://m.blog.naver.com/sntu2010/221217546678</x:v>
      </x:c>
      <x:c r="P949" s="112" t="str">
        <x:v>아니오</x:v>
      </x:c>
      <x:c r="Q949" s="113" t="str">
        <x:v>자동 분류·표본 검토 대상</x:v>
      </x:c>
    </x:row>
    <x:row r="950">
      <x:c r="A950" s="100" t="n">
        <x:v>949</x:v>
      </x:c>
      <x:c r="B950" s="101" t="n">
        <x:v>43157</x:v>
      </x:c>
      <x:c r="C950" s="102" t="n">
        <x:v>2018</x:v>
      </x:c>
      <x:c r="D950" s="103" t="str">
        <x:v>ID-221217546097</x:v>
      </x:c>
      <x:c r="E950" s="112" t="str">
        <x:v>[펌]무협 사전 - 혈도</x:v>
      </x:c>
      <x:c r="F950" s="112" t="str">
        <x:v>창작소재</x:v>
      </x:c>
      <x:c r="G950" s="112" t="str">
        <x:v>공통 창작소재</x:v>
      </x:c>
      <x:c r="H950" s="112" t="str">
        <x:v>작법·상업성</x:v>
      </x:c>
      <x:c r="I950" s="112" t="n">
        <x:v>1</x:v>
      </x:c>
      <x:c r="J950" s="112" t="str">
        <x:v>소재</x:v>
      </x:c>
      <x:c r="K950" s="112" t="str">
        <x:v>재게시</x:v>
      </x:c>
      <x:c r="L950" s="112" t="str">
        <x:v>높음</x:v>
      </x:c>
      <x:c r="M950" s="112" t="str">
        <x:v>제목의 펌/퍼옴 표시</x:v>
      </x:c>
      <x:c r="N950" s="116" t="str"/>
      <x:c r="O950" s="116" t="str">
        <x:v>https://m.blog.naver.com/sntu2010/221217546097</x:v>
      </x:c>
      <x:c r="P950" s="112" t="str">
        <x:v>아니오</x:v>
      </x:c>
      <x:c r="Q950" s="113" t="str">
        <x:v>자동 분류·표본 검토 대상</x:v>
      </x:c>
    </x:row>
    <x:row r="951">
      <x:c r="A951" s="100" t="n">
        <x:v>950</x:v>
      </x:c>
      <x:c r="B951" s="101" t="n">
        <x:v>43157</x:v>
      </x:c>
      <x:c r="C951" s="102" t="n">
        <x:v>2018</x:v>
      </x:c>
      <x:c r="D951" s="103" t="str">
        <x:v>ID-221217545850</x:v>
      </x:c>
      <x:c r="E951" s="112" t="str">
        <x:v>[펌]무협 사전 - 양산 신무협 용어사전</x:v>
      </x:c>
      <x:c r="F951" s="112" t="str">
        <x:v>창작소재</x:v>
      </x:c>
      <x:c r="G951" s="112" t="str">
        <x:v>공통 창작소재</x:v>
      </x:c>
      <x:c r="H951" s="112" t="str">
        <x:v>작법·상업성</x:v>
      </x:c>
      <x:c r="I951" s="112" t="n">
        <x:v>1</x:v>
      </x:c>
      <x:c r="J951" s="112" t="str">
        <x:v>소재</x:v>
      </x:c>
      <x:c r="K951" s="112" t="str">
        <x:v>재게시</x:v>
      </x:c>
      <x:c r="L951" s="112" t="str">
        <x:v>높음</x:v>
      </x:c>
      <x:c r="M951" s="112" t="str">
        <x:v>제목의 펌/퍼옴 표시</x:v>
      </x:c>
      <x:c r="N951" s="116" t="str">
        <x:v>http://curserex.egloos.com/814760</x:v>
      </x:c>
      <x:c r="O951" s="116" t="str">
        <x:v>https://m.blog.naver.com/sntu2010/221217545850</x:v>
      </x:c>
      <x:c r="P951" s="112" t="str">
        <x:v>아니오</x:v>
      </x:c>
      <x:c r="Q951" s="113" t="str">
        <x:v>자동 분류·표본 검토 대상</x:v>
      </x:c>
    </x:row>
    <x:row r="952">
      <x:c r="A952" s="100" t="n">
        <x:v>951</x:v>
      </x:c>
      <x:c r="B952" s="101" t="n">
        <x:v>43157</x:v>
      </x:c>
      <x:c r="C952" s="102" t="n">
        <x:v>2018</x:v>
      </x:c>
      <x:c r="D952" s="103" t="str">
        <x:v>ID-221217545655</x:v>
      </x:c>
      <x:c r="E952" s="112" t="str">
        <x:v>[펌]무협 사전 - 양산 신무협 사전(2)</x:v>
      </x:c>
      <x:c r="F952" s="112" t="str">
        <x:v>창작소재</x:v>
      </x:c>
      <x:c r="G952" s="112" t="str">
        <x:v>공통 창작소재</x:v>
      </x:c>
      <x:c r="H952" s="112" t="str">
        <x:v>작법·상업성</x:v>
      </x:c>
      <x:c r="I952" s="112" t="n">
        <x:v>1</x:v>
      </x:c>
      <x:c r="J952" s="112" t="str">
        <x:v>소재</x:v>
      </x:c>
      <x:c r="K952" s="112" t="str">
        <x:v>재게시</x:v>
      </x:c>
      <x:c r="L952" s="112" t="str">
        <x:v>높음</x:v>
      </x:c>
      <x:c r="M952" s="112" t="str">
        <x:v>제목의 펌/퍼옴 표시</x:v>
      </x:c>
      <x:c r="N952" s="116" t="str"/>
      <x:c r="O952" s="116" t="str">
        <x:v>https://m.blog.naver.com/sntu2010/221217545655</x:v>
      </x:c>
      <x:c r="P952" s="112" t="str">
        <x:v>아니오</x:v>
      </x:c>
      <x:c r="Q952" s="113" t="str">
        <x:v>자동 분류·표본 검토 대상</x:v>
      </x:c>
    </x:row>
    <x:row r="953">
      <x:c r="A953" s="100" t="n">
        <x:v>952</x:v>
      </x:c>
      <x:c r="B953" s="101" t="n">
        <x:v>43157</x:v>
      </x:c>
      <x:c r="C953" s="102" t="n">
        <x:v>2018</x:v>
      </x:c>
      <x:c r="D953" s="103" t="str">
        <x:v>ID-221217545472</x:v>
      </x:c>
      <x:c r="E953" s="112" t="str">
        <x:v>[펌]무협 사전 - 양산 신무협 사전(1)</x:v>
      </x:c>
      <x:c r="F953" s="112" t="str">
        <x:v>창작소재</x:v>
      </x:c>
      <x:c r="G953" s="112" t="str">
        <x:v>공통 창작소재</x:v>
      </x:c>
      <x:c r="H953" s="112" t="str">
        <x:v>작법·상업성</x:v>
      </x:c>
      <x:c r="I953" s="112" t="n">
        <x:v>1</x:v>
      </x:c>
      <x:c r="J953" s="112" t="str">
        <x:v>소재</x:v>
      </x:c>
      <x:c r="K953" s="112" t="str">
        <x:v>재게시</x:v>
      </x:c>
      <x:c r="L953" s="112" t="str">
        <x:v>높음</x:v>
      </x:c>
      <x:c r="M953" s="112" t="str">
        <x:v>제목의 펌/퍼옴 표시</x:v>
      </x:c>
      <x:c r="N953" s="116" t="str"/>
      <x:c r="O953" s="116" t="str">
        <x:v>https://m.blog.naver.com/sntu2010/221217545472</x:v>
      </x:c>
      <x:c r="P953" s="112" t="str">
        <x:v>아니오</x:v>
      </x:c>
      <x:c r="Q953" s="113" t="str">
        <x:v>자동 분류·표본 검토 대상</x:v>
      </x:c>
    </x:row>
    <x:row r="954">
      <x:c r="A954" s="100" t="n">
        <x:v>953</x:v>
      </x:c>
      <x:c r="B954" s="101" t="n">
        <x:v>43157</x:v>
      </x:c>
      <x:c r="C954" s="102" t="n">
        <x:v>2018</x:v>
      </x:c>
      <x:c r="D954" s="103" t="str">
        <x:v>ID-221217544496</x:v>
      </x:c>
      <x:c r="E954" s="112" t="str">
        <x:v>[펌]판타지 사전 - 중세유럽 직위 귀족 공작 후작 백작 자작 남작 기사</x:v>
      </x:c>
      <x:c r="F954" s="112" t="str">
        <x:v>창작소재</x:v>
      </x:c>
      <x:c r="G954" s="112" t="str">
        <x:v>공통 창작소재</x:v>
      </x:c>
      <x:c r="H954" s="112" t="str">
        <x:v>작법·상업성</x:v>
      </x:c>
      <x:c r="I954" s="112" t="n">
        <x:v>1</x:v>
      </x:c>
      <x:c r="J954" s="112" t="str">
        <x:v>소재</x:v>
      </x:c>
      <x:c r="K954" s="112" t="str">
        <x:v>재게시</x:v>
      </x:c>
      <x:c r="L954" s="112" t="str">
        <x:v>높음</x:v>
      </x:c>
      <x:c r="M954" s="112" t="str">
        <x:v>제목의 펌/퍼옴 표시</x:v>
      </x:c>
      <x:c r="N954" s="116" t="str"/>
      <x:c r="O954" s="116" t="str">
        <x:v>https://m.blog.naver.com/sntu2010/221217544496</x:v>
      </x:c>
      <x:c r="P954" s="112" t="str">
        <x:v>아니오</x:v>
      </x:c>
      <x:c r="Q954" s="113" t="str">
        <x:v>자동 분류·표본 검토 대상</x:v>
      </x:c>
    </x:row>
    <x:row r="955">
      <x:c r="A955" s="100" t="n">
        <x:v>954</x:v>
      </x:c>
      <x:c r="B955" s="101" t="n">
        <x:v>43157</x:v>
      </x:c>
      <x:c r="C955" s="102" t="n">
        <x:v>2018</x:v>
      </x:c>
      <x:c r="D955" s="103" t="str">
        <x:v>ID-221217544109</x:v>
      </x:c>
      <x:c r="E955" s="112" t="str">
        <x:v>[펌]판타지 사전 - 판타지 도감</x:v>
      </x:c>
      <x:c r="F955" s="112" t="str">
        <x:v>창작소재</x:v>
      </x:c>
      <x:c r="G955" s="112" t="str">
        <x:v>공통 창작소재</x:v>
      </x:c>
      <x:c r="H955" s="112" t="str">
        <x:v>작법·상업성</x:v>
      </x:c>
      <x:c r="I955" s="112" t="n">
        <x:v>1</x:v>
      </x:c>
      <x:c r="J955" s="112" t="str">
        <x:v>소재</x:v>
      </x:c>
      <x:c r="K955" s="112" t="str">
        <x:v>재게시</x:v>
      </x:c>
      <x:c r="L955" s="112" t="str">
        <x:v>높음</x:v>
      </x:c>
      <x:c r="M955" s="112" t="str">
        <x:v>제목의 펌/퍼옴 표시</x:v>
      </x:c>
      <x:c r="N955" s="116" t="str"/>
      <x:c r="O955" s="116" t="str">
        <x:v>https://m.blog.naver.com/sntu2010/221217544109</x:v>
      </x:c>
      <x:c r="P955" s="112" t="str">
        <x:v>아니오</x:v>
      </x:c>
      <x:c r="Q955" s="113" t="str">
        <x:v>자동 분류·표본 검토 대상</x:v>
      </x:c>
    </x:row>
    <x:row r="956">
      <x:c r="A956" s="100" t="n">
        <x:v>955</x:v>
      </x:c>
      <x:c r="B956" s="101" t="n">
        <x:v>43157</x:v>
      </x:c>
      <x:c r="C956" s="102" t="n">
        <x:v>2018</x:v>
      </x:c>
      <x:c r="D956" s="103" t="str">
        <x:v>ID-221217543640</x:v>
      </x:c>
      <x:c r="E956" s="112" t="str">
        <x:v>[펌]판타지 사전 - 마나 클레스 1~9</x:v>
      </x:c>
      <x:c r="F956" s="112" t="str">
        <x:v>창작소재</x:v>
      </x:c>
      <x:c r="G956" s="112" t="str">
        <x:v>공통 창작소재</x:v>
      </x:c>
      <x:c r="H956" s="112" t="str">
        <x:v>작법·상업성</x:v>
      </x:c>
      <x:c r="I956" s="112" t="n">
        <x:v>1</x:v>
      </x:c>
      <x:c r="J956" s="112" t="str">
        <x:v>소재</x:v>
      </x:c>
      <x:c r="K956" s="112" t="str">
        <x:v>재게시</x:v>
      </x:c>
      <x:c r="L956" s="112" t="str">
        <x:v>높음</x:v>
      </x:c>
      <x:c r="M956" s="112" t="str">
        <x:v>제목의 펌/퍼옴 표시</x:v>
      </x:c>
      <x:c r="N956" s="116" t="str"/>
      <x:c r="O956" s="116" t="str">
        <x:v>https://m.blog.naver.com/sntu2010/221217543640</x:v>
      </x:c>
      <x:c r="P956" s="112" t="str">
        <x:v>아니오</x:v>
      </x:c>
      <x:c r="Q956" s="113" t="str">
        <x:v>자동 분류·표본 검토 대상</x:v>
      </x:c>
    </x:row>
    <x:row r="957">
      <x:c r="A957" s="100" t="n">
        <x:v>956</x:v>
      </x:c>
      <x:c r="B957" s="101" t="n">
        <x:v>43157</x:v>
      </x:c>
      <x:c r="C957" s="102" t="n">
        <x:v>2018</x:v>
      </x:c>
      <x:c r="D957" s="103" t="str">
        <x:v>ID-221217542229</x:v>
      </x:c>
      <x:c r="E957" s="112" t="str">
        <x:v>[펌]판타지 사전 - 판타지 몬스터 도감</x:v>
      </x:c>
      <x:c r="F957" s="112" t="str">
        <x:v>창작소재</x:v>
      </x:c>
      <x:c r="G957" s="112" t="str">
        <x:v>공통 창작소재</x:v>
      </x:c>
      <x:c r="H957" s="112" t="str">
        <x:v>플랫폼·투고·계약</x:v>
      </x:c>
      <x:c r="I957" s="112" t="n">
        <x:v>1</x:v>
      </x:c>
      <x:c r="J957" s="112" t="str">
        <x:v>네이버</x:v>
      </x:c>
      <x:c r="K957" s="112" t="str">
        <x:v>재게시</x:v>
      </x:c>
      <x:c r="L957" s="112" t="str">
        <x:v>높음</x:v>
      </x:c>
      <x:c r="M957" s="112" t="str">
        <x:v>제목의 펌/퍼옴 표시</x:v>
      </x:c>
      <x:c r="N957" s="116" t="str"/>
      <x:c r="O957" s="116" t="str">
        <x:v>https://m.blog.naver.com/sntu2010/221217542229</x:v>
      </x:c>
      <x:c r="P957" s="112" t="str">
        <x:v>아니오</x:v>
      </x:c>
      <x:c r="Q957" s="113" t="str">
        <x:v>자동 분류·표본 검토 대상</x:v>
      </x:c>
    </x:row>
    <x:row r="958">
      <x:c r="A958" s="100" t="n">
        <x:v>957</x:v>
      </x:c>
      <x:c r="B958" s="101" t="n">
        <x:v>43157</x:v>
      </x:c>
      <x:c r="C958" s="102" t="n">
        <x:v>2018</x:v>
      </x:c>
      <x:c r="D958" s="103" t="str">
        <x:v>ID-221217541728</x:v>
      </x:c>
      <x:c r="E958" s="112" t="str">
        <x:v>[펌]판타지 사전 - 암상인(暗商人)이란?</x:v>
      </x:c>
      <x:c r="F958" s="112" t="str">
        <x:v>창작소재</x:v>
      </x:c>
      <x:c r="G958" s="112" t="str">
        <x:v>공통 창작소재</x:v>
      </x:c>
      <x:c r="H958" s="112" t="str">
        <x:v>캐릭터·전개</x:v>
      </x:c>
      <x:c r="I958" s="112" t="n">
        <x:v>1</x:v>
      </x:c>
      <x:c r="J958" s="112" t="str">
        <x:v>갈등</x:v>
      </x:c>
      <x:c r="K958" s="112" t="str">
        <x:v>재게시</x:v>
      </x:c>
      <x:c r="L958" s="112" t="str">
        <x:v>높음</x:v>
      </x:c>
      <x:c r="M958" s="112" t="str">
        <x:v>제목의 펌/퍼옴 표시</x:v>
      </x:c>
      <x:c r="N958" s="116" t="str">
        <x:v>http://square.munpia.com/boPds_6/page/4/beSrl/520059</x:v>
      </x:c>
      <x:c r="O958" s="116" t="str">
        <x:v>https://m.blog.naver.com/sntu2010/221217541728</x:v>
      </x:c>
      <x:c r="P958" s="112" t="str">
        <x:v>아니오</x:v>
      </x:c>
      <x:c r="Q958" s="113" t="str">
        <x:v>자동 분류·표본 검토 대상</x:v>
      </x:c>
    </x:row>
    <x:row r="959">
      <x:c r="A959" s="100" t="n">
        <x:v>958</x:v>
      </x:c>
      <x:c r="B959" s="101" t="n">
        <x:v>43157</x:v>
      </x:c>
      <x:c r="C959" s="102" t="n">
        <x:v>2018</x:v>
      </x:c>
      <x:c r="D959" s="103" t="str">
        <x:v>ID-221217541452</x:v>
      </x:c>
      <x:c r="E959" s="112" t="str">
        <x:v>[펌]판타지 사전 - 신의 대리자 - 사도</x:v>
      </x:c>
      <x:c r="F959" s="112" t="str">
        <x:v>창작소재</x:v>
      </x:c>
      <x:c r="G959" s="112" t="str">
        <x:v>공통 창작소재</x:v>
      </x:c>
      <x:c r="H959" s="112" t="str">
        <x:v>작법·상업성</x:v>
      </x:c>
      <x:c r="I959" s="112" t="n">
        <x:v>1</x:v>
      </x:c>
      <x:c r="J959" s="112" t="str">
        <x:v>소재</x:v>
      </x:c>
      <x:c r="K959" s="112" t="str">
        <x:v>재게시</x:v>
      </x:c>
      <x:c r="L959" s="112" t="str">
        <x:v>높음</x:v>
      </x:c>
      <x:c r="M959" s="112" t="str">
        <x:v>제목의 펌/퍼옴 표시</x:v>
      </x:c>
      <x:c r="N959" s="116" t="str"/>
      <x:c r="O959" s="116" t="str">
        <x:v>https://m.blog.naver.com/sntu2010/221217541452</x:v>
      </x:c>
      <x:c r="P959" s="112" t="str">
        <x:v>아니오</x:v>
      </x:c>
      <x:c r="Q959" s="113" t="str">
        <x:v>자동 분류·표본 검토 대상</x:v>
      </x:c>
    </x:row>
    <x:row r="960">
      <x:c r="A960" s="100" t="n">
        <x:v>959</x:v>
      </x:c>
      <x:c r="B960" s="101" t="n">
        <x:v>43157</x:v>
      </x:c>
      <x:c r="C960" s="102" t="n">
        <x:v>2018</x:v>
      </x:c>
      <x:c r="D960" s="103" t="str">
        <x:v>ID-221217541103</x:v>
      </x:c>
      <x:c r="E960" s="112" t="str">
        <x:v>[펌]판타지 사전 - 게티아 72악마 목록</x:v>
      </x:c>
      <x:c r="F960" s="112" t="str">
        <x:v>창작소재</x:v>
      </x:c>
      <x:c r="G960" s="112" t="str">
        <x:v>공통 창작소재</x:v>
      </x:c>
      <x:c r="H960" s="112" t="str">
        <x:v>캐릭터·전개</x:v>
      </x:c>
      <x:c r="I960" s="112" t="n">
        <x:v>1</x:v>
      </x:c>
      <x:c r="J960" s="112" t="str">
        <x:v>관계</x:v>
      </x:c>
      <x:c r="K960" s="112" t="str">
        <x:v>재게시</x:v>
      </x:c>
      <x:c r="L960" s="112" t="str">
        <x:v>높음</x:v>
      </x:c>
      <x:c r="M960" s="112" t="str">
        <x:v>제목의 펌/퍼옴 표시</x:v>
      </x:c>
      <x:c r="N960" s="116" t="str"/>
      <x:c r="O960" s="116" t="str">
        <x:v>https://m.blog.naver.com/sntu2010/221217541103</x:v>
      </x:c>
      <x:c r="P960" s="112" t="str">
        <x:v>아니오</x:v>
      </x:c>
      <x:c r="Q960" s="113" t="str">
        <x:v>자동 분류·표본 검토 대상</x:v>
      </x:c>
    </x:row>
    <x:row r="961">
      <x:c r="A961" s="100" t="n">
        <x:v>960</x:v>
      </x:c>
      <x:c r="B961" s="101" t="n">
        <x:v>43157</x:v>
      </x:c>
      <x:c r="C961" s="102" t="n">
        <x:v>2018</x:v>
      </x:c>
      <x:c r="D961" s="103" t="str">
        <x:v>ID-221217540366</x:v>
      </x:c>
      <x:c r="E961" s="112" t="str">
        <x:v>[펌]판타지 사전 - 마법 1~7서클(인터넷 에 떠도는 마법이 아닙니다.)</x:v>
      </x:c>
      <x:c r="F961" s="112" t="str">
        <x:v>창작소재</x:v>
      </x:c>
      <x:c r="G961" s="112" t="str">
        <x:v>공통 창작소재</x:v>
      </x:c>
      <x:c r="H961" s="112" t="str">
        <x:v>작법·상업성</x:v>
      </x:c>
      <x:c r="I961" s="112" t="n">
        <x:v>1</x:v>
      </x:c>
      <x:c r="J961" s="112" t="str">
        <x:v>소재</x:v>
      </x:c>
      <x:c r="K961" s="112" t="str">
        <x:v>재게시</x:v>
      </x:c>
      <x:c r="L961" s="112" t="str">
        <x:v>높음</x:v>
      </x:c>
      <x:c r="M961" s="112" t="str">
        <x:v>제목의 펌/퍼옴 표시</x:v>
      </x:c>
      <x:c r="N961" s="116" t="str"/>
      <x:c r="O961" s="116" t="str">
        <x:v>https://m.blog.naver.com/sntu2010/221217540366</x:v>
      </x:c>
      <x:c r="P961" s="112" t="str">
        <x:v>아니오</x:v>
      </x:c>
      <x:c r="Q961" s="113" t="str">
        <x:v>자동 분류·표본 검토 대상</x:v>
      </x:c>
    </x:row>
    <x:row r="962">
      <x:c r="A962" s="100" t="n">
        <x:v>961</x:v>
      </x:c>
      <x:c r="B962" s="101" t="n">
        <x:v>43157</x:v>
      </x:c>
      <x:c r="C962" s="102" t="n">
        <x:v>2018</x:v>
      </x:c>
      <x:c r="D962" s="103" t="str">
        <x:v>ID-221217539502</x:v>
      </x:c>
      <x:c r="E962" s="112" t="str">
        <x:v>[펌]창작 사전 - 러브크래프트의 마도서</x:v>
      </x:c>
      <x:c r="F962" s="112" t="str">
        <x:v>창작소재</x:v>
      </x:c>
      <x:c r="G962" s="112" t="str">
        <x:v>공통 창작소재</x:v>
      </x:c>
      <x:c r="H962" s="112" t="str">
        <x:v>캐릭터·전개</x:v>
      </x:c>
      <x:c r="I962" s="112" t="n">
        <x:v>1</x:v>
      </x:c>
      <x:c r="J962" s="112" t="str">
        <x:v>인물</x:v>
      </x:c>
      <x:c r="K962" s="112" t="str">
        <x:v>재게시</x:v>
      </x:c>
      <x:c r="L962" s="112" t="str">
        <x:v>높음</x:v>
      </x:c>
      <x:c r="M962" s="112" t="str">
        <x:v>제목의 펌/퍼옴 표시</x:v>
      </x:c>
      <x:c r="N962" s="116" t="str"/>
      <x:c r="O962" s="116" t="str">
        <x:v>https://m.blog.naver.com/sntu2010/221217539502</x:v>
      </x:c>
      <x:c r="P962" s="112" t="str">
        <x:v>아니오</x:v>
      </x:c>
      <x:c r="Q962" s="113" t="str">
        <x:v>자동 분류·표본 검토 대상</x:v>
      </x:c>
    </x:row>
    <x:row r="963">
      <x:c r="A963" s="100" t="n">
        <x:v>962</x:v>
      </x:c>
      <x:c r="B963" s="101" t="n">
        <x:v>43157</x:v>
      </x:c>
      <x:c r="C963" s="102" t="n">
        <x:v>2018</x:v>
      </x:c>
      <x:c r="D963" s="103" t="str">
        <x:v>ID-221217538663</x:v>
      </x:c>
      <x:c r="E963" s="112" t="str">
        <x:v>[펌]판타지 사전 - 언데드 대백과</x:v>
      </x:c>
      <x:c r="F963" s="112" t="str">
        <x:v>창작소재</x:v>
      </x:c>
      <x:c r="G963" s="112" t="str">
        <x:v>공통 창작소재</x:v>
      </x:c>
      <x:c r="H963" s="112" t="str">
        <x:v>작법·상업성</x:v>
      </x:c>
      <x:c r="I963" s="112" t="n">
        <x:v>1</x:v>
      </x:c>
      <x:c r="J963" s="112" t="str">
        <x:v>소재</x:v>
      </x:c>
      <x:c r="K963" s="112" t="str">
        <x:v>재게시</x:v>
      </x:c>
      <x:c r="L963" s="112" t="str">
        <x:v>높음</x:v>
      </x:c>
      <x:c r="M963" s="112" t="str">
        <x:v>제목의 펌/퍼옴 표시</x:v>
      </x:c>
      <x:c r="N963" s="116" t="str">
        <x:v>http://square.munpia.com/boPds_6/page/1/beSrl/775160</x:v>
      </x:c>
      <x:c r="O963" s="116" t="str">
        <x:v>https://m.blog.naver.com/sntu2010/221217538663</x:v>
      </x:c>
      <x:c r="P963" s="112" t="str">
        <x:v>아니오</x:v>
      </x:c>
      <x:c r="Q963" s="113" t="str">
        <x:v>자동 분류·표본 검토 대상</x:v>
      </x:c>
    </x:row>
    <x:row r="964">
      <x:c r="A964" s="100" t="n">
        <x:v>963</x:v>
      </x:c>
      <x:c r="B964" s="101" t="n">
        <x:v>43157</x:v>
      </x:c>
      <x:c r="C964" s="102" t="n">
        <x:v>2018</x:v>
      </x:c>
      <x:c r="D964" s="103" t="str">
        <x:v>ID-221217537606</x:v>
      </x:c>
      <x:c r="E964" s="112" t="str">
        <x:v>[펌]무협 사전 - 의술(醫術)</x:v>
      </x:c>
      <x:c r="F964" s="112" t="str">
        <x:v>창작소재</x:v>
      </x:c>
      <x:c r="G964" s="112" t="str">
        <x:v>공통 창작소재</x:v>
      </x:c>
      <x:c r="H964" s="112" t="str">
        <x:v>작법·상업성</x:v>
      </x:c>
      <x:c r="I964" s="112" t="n">
        <x:v>1</x:v>
      </x:c>
      <x:c r="J964" s="112" t="str">
        <x:v>소재</x:v>
      </x:c>
      <x:c r="K964" s="112" t="str">
        <x:v>재게시</x:v>
      </x:c>
      <x:c r="L964" s="112" t="str">
        <x:v>높음</x:v>
      </x:c>
      <x:c r="M964" s="112" t="str">
        <x:v>제목의 펌/퍼옴 표시</x:v>
      </x:c>
      <x:c r="N964" s="116" t="str"/>
      <x:c r="O964" s="116" t="str">
        <x:v>https://m.blog.naver.com/sntu2010/221217537606</x:v>
      </x:c>
      <x:c r="P964" s="112" t="str">
        <x:v>아니오</x:v>
      </x:c>
      <x:c r="Q964" s="113" t="str">
        <x:v>자동 분류·표본 검토 대상</x:v>
      </x:c>
    </x:row>
    <x:row r="965">
      <x:c r="A965" s="100" t="n">
        <x:v>964</x:v>
      </x:c>
      <x:c r="B965" s="101" t="n">
        <x:v>43157</x:v>
      </x:c>
      <x:c r="C965" s="102" t="n">
        <x:v>2018</x:v>
      </x:c>
      <x:c r="D965" s="103" t="str">
        <x:v>ID-221217537258</x:v>
      </x:c>
      <x:c r="E965" s="112" t="str">
        <x:v>[펌]무협 사전 - 초식만드는 쉬운 방법</x:v>
      </x:c>
      <x:c r="F965" s="112" t="str">
        <x:v>창작소재</x:v>
      </x:c>
      <x:c r="G965" s="112" t="str">
        <x:v>공통 창작소재</x:v>
      </x:c>
      <x:c r="H965" s="112" t="str">
        <x:v>작법·상업성</x:v>
      </x:c>
      <x:c r="I965" s="112" t="n">
        <x:v>1</x:v>
      </x:c>
      <x:c r="J965" s="112" t="str">
        <x:v>소재</x:v>
      </x:c>
      <x:c r="K965" s="112" t="str">
        <x:v>재게시</x:v>
      </x:c>
      <x:c r="L965" s="112" t="str">
        <x:v>높음</x:v>
      </x:c>
      <x:c r="M965" s="112" t="str">
        <x:v>제목의 펌/퍼옴 표시</x:v>
      </x:c>
      <x:c r="N965" s="116" t="str"/>
      <x:c r="O965" s="116" t="str">
        <x:v>https://m.blog.naver.com/sntu2010/221217537258</x:v>
      </x:c>
      <x:c r="P965" s="112" t="str">
        <x:v>아니오</x:v>
      </x:c>
      <x:c r="Q965" s="113" t="str">
        <x:v>자동 분류·표본 검토 대상</x:v>
      </x:c>
    </x:row>
    <x:row r="966">
      <x:c r="A966" s="100" t="n">
        <x:v>965</x:v>
      </x:c>
      <x:c r="B966" s="101" t="n">
        <x:v>43157</x:v>
      </x:c>
      <x:c r="C966" s="102" t="n">
        <x:v>2018</x:v>
      </x:c>
      <x:c r="D966" s="103" t="str">
        <x:v>ID-221217536519</x:v>
      </x:c>
      <x:c r="E966" s="112" t="str">
        <x:v>[펌]무협 사전 - 혈도 지도</x:v>
      </x:c>
      <x:c r="F966" s="112" t="str">
        <x:v>창작소재</x:v>
      </x:c>
      <x:c r="G966" s="112" t="str">
        <x:v>공통 창작소재</x:v>
      </x:c>
      <x:c r="H966" s="112" t="str">
        <x:v>작법·상업성</x:v>
      </x:c>
      <x:c r="I966" s="112" t="n">
        <x:v>1</x:v>
      </x:c>
      <x:c r="J966" s="112" t="str">
        <x:v>소재</x:v>
      </x:c>
      <x:c r="K966" s="112" t="str">
        <x:v>재게시</x:v>
      </x:c>
      <x:c r="L966" s="112" t="str">
        <x:v>높음</x:v>
      </x:c>
      <x:c r="M966" s="112" t="str">
        <x:v>제목의 펌/퍼옴 표시</x:v>
      </x:c>
      <x:c r="N966" s="116" t="str">
        <x:v>http://square.munpia.com/boPds_1/page/19/beSrl/17689</x:v>
      </x:c>
      <x:c r="O966" s="116" t="str">
        <x:v>https://m.blog.naver.com/sntu2010/221217536519</x:v>
      </x:c>
      <x:c r="P966" s="112" t="str">
        <x:v>아니오</x:v>
      </x:c>
      <x:c r="Q966" s="113" t="str">
        <x:v>자동 분류·표본 검토 대상</x:v>
      </x:c>
    </x:row>
    <x:row r="967">
      <x:c r="A967" s="100" t="n">
        <x:v>966</x:v>
      </x:c>
      <x:c r="B967" s="101" t="n">
        <x:v>43157</x:v>
      </x:c>
      <x:c r="C967" s="102" t="n">
        <x:v>2018</x:v>
      </x:c>
      <x:c r="D967" s="103" t="str">
        <x:v>ID-221217535761</x:v>
      </x:c>
      <x:c r="E967" s="112" t="str">
        <x:v>[펌]무협 사전 - 각종무공 초식의 해설</x:v>
      </x:c>
      <x:c r="F967" s="112" t="str">
        <x:v>창작소재</x:v>
      </x:c>
      <x:c r="G967" s="112" t="str">
        <x:v>공통 창작소재</x:v>
      </x:c>
      <x:c r="H967" s="112" t="str">
        <x:v>작법·상업성</x:v>
      </x:c>
      <x:c r="I967" s="112" t="n">
        <x:v>1</x:v>
      </x:c>
      <x:c r="J967" s="112" t="str">
        <x:v>소재</x:v>
      </x:c>
      <x:c r="K967" s="112" t="str">
        <x:v>재게시</x:v>
      </x:c>
      <x:c r="L967" s="112" t="str">
        <x:v>높음</x:v>
      </x:c>
      <x:c r="M967" s="112" t="str">
        <x:v>제목의 펌/퍼옴 표시</x:v>
      </x:c>
      <x:c r="N967" s="116" t="str"/>
      <x:c r="O967" s="116" t="str">
        <x:v>https://m.blog.naver.com/sntu2010/221217535761</x:v>
      </x:c>
      <x:c r="P967" s="112" t="str">
        <x:v>아니오</x:v>
      </x:c>
      <x:c r="Q967" s="113" t="str">
        <x:v>자동 분류·표본 검토 대상</x:v>
      </x:c>
    </x:row>
    <x:row r="968">
      <x:c r="A968" s="100" t="n">
        <x:v>967</x:v>
      </x:c>
      <x:c r="B968" s="101" t="n">
        <x:v>43157</x:v>
      </x:c>
      <x:c r="C968" s="102" t="n">
        <x:v>2018</x:v>
      </x:c>
      <x:c r="D968" s="103" t="str">
        <x:v>ID-221217535040</x:v>
      </x:c>
      <x:c r="E968" s="112" t="str">
        <x:v>[펌]무협 사전 - 중국의 4대요리 및 지방요리</x:v>
      </x:c>
      <x:c r="F968" s="112" t="str">
        <x:v>창작소재</x:v>
      </x:c>
      <x:c r="G968" s="112" t="str">
        <x:v>공통 창작소재</x:v>
      </x:c>
      <x:c r="H968" s="112" t="str">
        <x:v>작법·상업성</x:v>
      </x:c>
      <x:c r="I968" s="112" t="n">
        <x:v>1</x:v>
      </x:c>
      <x:c r="J968" s="112" t="str">
        <x:v>소재</x:v>
      </x:c>
      <x:c r="K968" s="112" t="str">
        <x:v>재게시</x:v>
      </x:c>
      <x:c r="L968" s="112" t="str">
        <x:v>높음</x:v>
      </x:c>
      <x:c r="M968" s="112" t="str">
        <x:v>제목의 펌/퍼옴 표시</x:v>
      </x:c>
      <x:c r="N968" s="116" t="str"/>
      <x:c r="O968" s="116" t="str">
        <x:v>https://m.blog.naver.com/sntu2010/221217535040</x:v>
      </x:c>
      <x:c r="P968" s="112" t="str">
        <x:v>아니오</x:v>
      </x:c>
      <x:c r="Q968" s="113" t="str">
        <x:v>자동 분류·표본 검토 대상</x:v>
      </x:c>
    </x:row>
    <x:row r="969">
      <x:c r="A969" s="100" t="n">
        <x:v>968</x:v>
      </x:c>
      <x:c r="B969" s="101" t="n">
        <x:v>43157</x:v>
      </x:c>
      <x:c r="C969" s="102" t="n">
        <x:v>2018</x:v>
      </x:c>
      <x:c r="D969" s="103" t="str">
        <x:v>ID-221217534488</x:v>
      </x:c>
      <x:c r="E969" s="112" t="str">
        <x:v>[펌]무협 사전 - 점혈 사진</x:v>
      </x:c>
      <x:c r="F969" s="112" t="str">
        <x:v>창작소재</x:v>
      </x:c>
      <x:c r="G969" s="112" t="str">
        <x:v>공통 창작소재</x:v>
      </x:c>
      <x:c r="H969" s="112" t="str">
        <x:v>작법·상업성</x:v>
      </x:c>
      <x:c r="I969" s="112" t="n">
        <x:v>1</x:v>
      </x:c>
      <x:c r="J969" s="112" t="str">
        <x:v>소재</x:v>
      </x:c>
      <x:c r="K969" s="112" t="str">
        <x:v>재게시</x:v>
      </x:c>
      <x:c r="L969" s="112" t="str">
        <x:v>높음</x:v>
      </x:c>
      <x:c r="M969" s="112" t="str">
        <x:v>제목의 펌/퍼옴 표시</x:v>
      </x:c>
      <x:c r="N969" s="116" t="str">
        <x:v>http://square.munpia.com/boPds_1/page/13/beSrl/72412</x:v>
      </x:c>
      <x:c r="O969" s="116" t="str">
        <x:v>https://m.blog.naver.com/sntu2010/221217534488</x:v>
      </x:c>
      <x:c r="P969" s="112" t="str">
        <x:v>아니오</x:v>
      </x:c>
      <x:c r="Q969" s="113" t="str">
        <x:v>자동 분류·표본 검토 대상</x:v>
      </x:c>
    </x:row>
    <x:row r="970">
      <x:c r="A970" s="100" t="n">
        <x:v>969</x:v>
      </x:c>
      <x:c r="B970" s="101" t="n">
        <x:v>43157</x:v>
      </x:c>
      <x:c r="C970" s="102" t="n">
        <x:v>2018</x:v>
      </x:c>
      <x:c r="D970" s="103" t="str">
        <x:v>ID-221217534009</x:v>
      </x:c>
      <x:c r="E970" s="112" t="str">
        <x:v>[펌]무협 사전 - 자금성의 항공사진 입니다.</x:v>
      </x:c>
      <x:c r="F970" s="112" t="str">
        <x:v>창작소재</x:v>
      </x:c>
      <x:c r="G970" s="112" t="str">
        <x:v>공통 창작소재</x:v>
      </x:c>
      <x:c r="H970" s="112" t="str">
        <x:v>작법·상업성</x:v>
      </x:c>
      <x:c r="I970" s="112" t="n">
        <x:v>1</x:v>
      </x:c>
      <x:c r="J970" s="112" t="str">
        <x:v>소재</x:v>
      </x:c>
      <x:c r="K970" s="112" t="str">
        <x:v>재게시</x:v>
      </x:c>
      <x:c r="L970" s="112" t="str">
        <x:v>높음</x:v>
      </x:c>
      <x:c r="M970" s="112" t="str">
        <x:v>제목의 펌/퍼옴 표시</x:v>
      </x:c>
      <x:c r="N970" s="116" t="str">
        <x:v>http://square.munpia.com/boPds_1/page/12/beSrl/126713</x:v>
      </x:c>
      <x:c r="O970" s="116" t="str">
        <x:v>https://m.blog.naver.com/sntu2010/221217534009</x:v>
      </x:c>
      <x:c r="P970" s="112" t="str">
        <x:v>아니오</x:v>
      </x:c>
      <x:c r="Q970" s="113" t="str">
        <x:v>자동 분류·표본 검토 대상</x:v>
      </x:c>
    </x:row>
    <x:row r="971">
      <x:c r="A971" s="100" t="n">
        <x:v>970</x:v>
      </x:c>
      <x:c r="B971" s="101" t="n">
        <x:v>43157</x:v>
      </x:c>
      <x:c r="C971" s="102" t="n">
        <x:v>2018</x:v>
      </x:c>
      <x:c r="D971" s="103" t="str">
        <x:v>ID-221217533707</x:v>
      </x:c>
      <x:c r="E971" s="112" t="str">
        <x:v>[펌]무협 사전 - 검도 - 무술 심경(검도장에 오래 다니면 한 번 씩은 배우는)</x:v>
      </x:c>
      <x:c r="F971" s="112" t="str">
        <x:v>창작소재</x:v>
      </x:c>
      <x:c r="G971" s="112" t="str">
        <x:v>공통 창작소재</x:v>
      </x:c>
      <x:c r="H971" s="112" t="str">
        <x:v>작법·상업성</x:v>
      </x:c>
      <x:c r="I971" s="112" t="n">
        <x:v>1</x:v>
      </x:c>
      <x:c r="J971" s="112" t="str">
        <x:v>소재</x:v>
      </x:c>
      <x:c r="K971" s="112" t="str">
        <x:v>재게시</x:v>
      </x:c>
      <x:c r="L971" s="112" t="str">
        <x:v>높음</x:v>
      </x:c>
      <x:c r="M971" s="112" t="str">
        <x:v>제목의 펌/퍼옴 표시</x:v>
      </x:c>
      <x:c r="N971" s="116" t="str"/>
      <x:c r="O971" s="116" t="str">
        <x:v>https://m.blog.naver.com/sntu2010/221217533707</x:v>
      </x:c>
      <x:c r="P971" s="112" t="str">
        <x:v>아니오</x:v>
      </x:c>
      <x:c r="Q971" s="113" t="str">
        <x:v>자동 분류·표본 검토 대상</x:v>
      </x:c>
    </x:row>
    <x:row r="972">
      <x:c r="A972" s="100" t="n">
        <x:v>971</x:v>
      </x:c>
      <x:c r="B972" s="101" t="n">
        <x:v>43157</x:v>
      </x:c>
      <x:c r="C972" s="102" t="n">
        <x:v>2018</x:v>
      </x:c>
      <x:c r="D972" s="103" t="str">
        <x:v>ID-221217532289</x:v>
      </x:c>
      <x:c r="E972" s="112" t="str">
        <x:v>[펌]무협 사전 - 중국 주요 도시의 유명한 요리</x:v>
      </x:c>
      <x:c r="F972" s="112" t="str">
        <x:v>창작소재</x:v>
      </x:c>
      <x:c r="G972" s="112" t="str">
        <x:v>공통 창작소재</x:v>
      </x:c>
      <x:c r="H972" s="112" t="str">
        <x:v>작법·상업성</x:v>
      </x:c>
      <x:c r="I972" s="112" t="n">
        <x:v>1</x:v>
      </x:c>
      <x:c r="J972" s="112" t="str">
        <x:v>소재</x:v>
      </x:c>
      <x:c r="K972" s="112" t="str">
        <x:v>재게시</x:v>
      </x:c>
      <x:c r="L972" s="112" t="str">
        <x:v>높음</x:v>
      </x:c>
      <x:c r="M972" s="112" t="str">
        <x:v>제목의 펌/퍼옴 표시</x:v>
      </x:c>
      <x:c r="N972" s="116" t="str">
        <x:v>http://cafe.naver.com/sg10023/69</x:v>
      </x:c>
      <x:c r="O972" s="116" t="str">
        <x:v>https://m.blog.naver.com/sntu2010/221217532289</x:v>
      </x:c>
      <x:c r="P972" s="112" t="str">
        <x:v>아니오</x:v>
      </x:c>
      <x:c r="Q972" s="113" t="str">
        <x:v>자동 분류·표본 검토 대상</x:v>
      </x:c>
    </x:row>
    <x:row r="973">
      <x:c r="A973" s="100" t="n">
        <x:v>972</x:v>
      </x:c>
      <x:c r="B973" s="101" t="n">
        <x:v>43157</x:v>
      </x:c>
      <x:c r="C973" s="102" t="n">
        <x:v>2018</x:v>
      </x:c>
      <x:c r="D973" s="103" t="str">
        <x:v>ID-221217532051</x:v>
      </x:c>
      <x:c r="E973" s="112" t="str">
        <x:v>[펌]무협 사전 - 구파일방 총정리</x:v>
      </x:c>
      <x:c r="F973" s="112" t="str">
        <x:v>창작소재</x:v>
      </x:c>
      <x:c r="G973" s="112" t="str">
        <x:v>공통 창작소재</x:v>
      </x:c>
      <x:c r="H973" s="112" t="str">
        <x:v>작법·상업성</x:v>
      </x:c>
      <x:c r="I973" s="112" t="n">
        <x:v>1</x:v>
      </x:c>
      <x:c r="J973" s="112" t="str">
        <x:v>소재</x:v>
      </x:c>
      <x:c r="K973" s="112" t="str">
        <x:v>재게시</x:v>
      </x:c>
      <x:c r="L973" s="112" t="str">
        <x:v>높음</x:v>
      </x:c>
      <x:c r="M973" s="112" t="str">
        <x:v>제목의 펌/퍼옴 표시</x:v>
      </x:c>
      <x:c r="N973" s="116" t="str"/>
      <x:c r="O973" s="116" t="str">
        <x:v>https://m.blog.naver.com/sntu2010/221217532051</x:v>
      </x:c>
      <x:c r="P973" s="112" t="str">
        <x:v>아니오</x:v>
      </x:c>
      <x:c r="Q973" s="113" t="str">
        <x:v>자동 분류·표본 검토 대상</x:v>
      </x:c>
    </x:row>
    <x:row r="974">
      <x:c r="A974" s="100" t="n">
        <x:v>973</x:v>
      </x:c>
      <x:c r="B974" s="101" t="n">
        <x:v>43157</x:v>
      </x:c>
      <x:c r="C974" s="102" t="n">
        <x:v>2018</x:v>
      </x:c>
      <x:c r="D974" s="103" t="str">
        <x:v>ID-221217531630</x:v>
      </x:c>
      <x:c r="E974" s="112" t="str">
        <x:v>[펌]무협 사전 - 무공에 관한 여러가지 용어 ex)수파리, 후발선지, 평상심 등</x:v>
      </x:c>
      <x:c r="F974" s="112" t="str">
        <x:v>창작소재</x:v>
      </x:c>
      <x:c r="G974" s="112" t="str">
        <x:v>공통 창작소재</x:v>
      </x:c>
      <x:c r="H974" s="112" t="str">
        <x:v>작법·상업성</x:v>
      </x:c>
      <x:c r="I974" s="112" t="n">
        <x:v>1</x:v>
      </x:c>
      <x:c r="J974" s="112" t="str">
        <x:v>소재</x:v>
      </x:c>
      <x:c r="K974" s="112" t="str">
        <x:v>재게시</x:v>
      </x:c>
      <x:c r="L974" s="112" t="str">
        <x:v>높음</x:v>
      </x:c>
      <x:c r="M974" s="112" t="str">
        <x:v>제목의 펌/퍼옴 표시</x:v>
      </x:c>
      <x:c r="N974" s="116" t="str"/>
      <x:c r="O974" s="116" t="str">
        <x:v>https://m.blog.naver.com/sntu2010/221217531630</x:v>
      </x:c>
      <x:c r="P974" s="112" t="str">
        <x:v>아니오</x:v>
      </x:c>
      <x:c r="Q974" s="113" t="str">
        <x:v>자동 분류·표본 검토 대상</x:v>
      </x:c>
    </x:row>
    <x:row r="975">
      <x:c r="A975" s="100" t="n">
        <x:v>974</x:v>
      </x:c>
      <x:c r="B975" s="101" t="n">
        <x:v>43157</x:v>
      </x:c>
      <x:c r="C975" s="102" t="n">
        <x:v>2018</x:v>
      </x:c>
      <x:c r="D975" s="103" t="str">
        <x:v>ID-221217531415</x:v>
      </x:c>
      <x:c r="E975" s="112" t="str">
        <x:v>[펌]무협 사전 - 무인의 경지</x:v>
      </x:c>
      <x:c r="F975" s="112" t="str">
        <x:v>창작소재</x:v>
      </x:c>
      <x:c r="G975" s="112" t="str">
        <x:v>공통 창작소재</x:v>
      </x:c>
      <x:c r="H975" s="112" t="str">
        <x:v>작법·상업성</x:v>
      </x:c>
      <x:c r="I975" s="112" t="n">
        <x:v>1</x:v>
      </x:c>
      <x:c r="J975" s="112" t="str">
        <x:v>소재</x:v>
      </x:c>
      <x:c r="K975" s="112" t="str">
        <x:v>재게시</x:v>
      </x:c>
      <x:c r="L975" s="112" t="str">
        <x:v>높음</x:v>
      </x:c>
      <x:c r="M975" s="112" t="str">
        <x:v>제목의 펌/퍼옴 표시</x:v>
      </x:c>
      <x:c r="N975" s="116" t="str"/>
      <x:c r="O975" s="116" t="str">
        <x:v>https://m.blog.naver.com/sntu2010/221217531415</x:v>
      </x:c>
      <x:c r="P975" s="112" t="str">
        <x:v>아니오</x:v>
      </x:c>
      <x:c r="Q975" s="113" t="str">
        <x:v>자동 분류·표본 검토 대상</x:v>
      </x:c>
    </x:row>
    <x:row r="976">
      <x:c r="A976" s="100" t="n">
        <x:v>975</x:v>
      </x:c>
      <x:c r="B976" s="101" t="n">
        <x:v>43157</x:v>
      </x:c>
      <x:c r="C976" s="102" t="n">
        <x:v>2018</x:v>
      </x:c>
      <x:c r="D976" s="103" t="str">
        <x:v>ID-221217530606</x:v>
      </x:c>
      <x:c r="E976" s="112" t="str">
        <x:v>[펌]무협 사전 - 여러가지 무기들의 무술법 총집합</x:v>
      </x:c>
      <x:c r="F976" s="112" t="str">
        <x:v>창작소재</x:v>
      </x:c>
      <x:c r="G976" s="112" t="str">
        <x:v>공통 창작소재</x:v>
      </x:c>
      <x:c r="H976" s="112" t="str">
        <x:v>작법·상업성</x:v>
      </x:c>
      <x:c r="I976" s="112" t="n">
        <x:v>1</x:v>
      </x:c>
      <x:c r="J976" s="112" t="str">
        <x:v>소재</x:v>
      </x:c>
      <x:c r="K976" s="112" t="str">
        <x:v>재게시</x:v>
      </x:c>
      <x:c r="L976" s="112" t="str">
        <x:v>높음</x:v>
      </x:c>
      <x:c r="M976" s="112" t="str">
        <x:v>제목의 펌/퍼옴 표시</x:v>
      </x:c>
      <x:c r="N976" s="116" t="str"/>
      <x:c r="O976" s="116" t="str">
        <x:v>https://m.blog.naver.com/sntu2010/221217530606</x:v>
      </x:c>
      <x:c r="P976" s="112" t="str">
        <x:v>아니오</x:v>
      </x:c>
      <x:c r="Q976" s="113" t="str">
        <x:v>자동 분류·표본 검토 대상</x:v>
      </x:c>
    </x:row>
    <x:row r="977">
      <x:c r="A977" s="100" t="n">
        <x:v>976</x:v>
      </x:c>
      <x:c r="B977" s="101" t="n">
        <x:v>43157</x:v>
      </x:c>
      <x:c r="C977" s="102" t="n">
        <x:v>2018</x:v>
      </x:c>
      <x:c r="D977" s="103" t="str">
        <x:v>ID-221217529696</x:v>
      </x:c>
      <x:c r="E977" s="112" t="str">
        <x:v>[펌]무협 사전 - 12 경맥과 기경8맥에 대해</x:v>
      </x:c>
      <x:c r="F977" s="112" t="str">
        <x:v>창작소재</x:v>
      </x:c>
      <x:c r="G977" s="112" t="str">
        <x:v>공통 창작소재</x:v>
      </x:c>
      <x:c r="H977" s="112" t="str">
        <x:v>작법·상업성</x:v>
      </x:c>
      <x:c r="I977" s="112" t="n">
        <x:v>1</x:v>
      </x:c>
      <x:c r="J977" s="112" t="str">
        <x:v>소재</x:v>
      </x:c>
      <x:c r="K977" s="112" t="str">
        <x:v>재게시</x:v>
      </x:c>
      <x:c r="L977" s="112" t="str">
        <x:v>높음</x:v>
      </x:c>
      <x:c r="M977" s="112" t="str">
        <x:v>제목의 펌/퍼옴 표시</x:v>
      </x:c>
      <x:c r="N977" s="116" t="str"/>
      <x:c r="O977" s="116" t="str">
        <x:v>https://m.blog.naver.com/sntu2010/221217529696</x:v>
      </x:c>
      <x:c r="P977" s="112" t="str">
        <x:v>아니오</x:v>
      </x:c>
      <x:c r="Q977" s="113" t="str">
        <x:v>자동 분류·표본 검토 대상</x:v>
      </x:c>
    </x:row>
    <x:row r="978">
      <x:c r="A978" s="100" t="n">
        <x:v>977</x:v>
      </x:c>
      <x:c r="B978" s="101" t="n">
        <x:v>43157</x:v>
      </x:c>
      <x:c r="C978" s="102" t="n">
        <x:v>2018</x:v>
      </x:c>
      <x:c r="D978" s="103" t="str">
        <x:v>ID-221217529066</x:v>
      </x:c>
      <x:c r="E978" s="112" t="str">
        <x:v>[펌]무협 사전 - 무공 초식 작명법</x:v>
      </x:c>
      <x:c r="F978" s="112" t="str">
        <x:v>창작소재</x:v>
      </x:c>
      <x:c r="G978" s="112" t="str">
        <x:v>공통 창작소재</x:v>
      </x:c>
      <x:c r="H978" s="112" t="str">
        <x:v>작법·상업성</x:v>
      </x:c>
      <x:c r="I978" s="112" t="n">
        <x:v>2</x:v>
      </x:c>
      <x:c r="J978" s="112" t="str">
        <x:v>장르, 소재</x:v>
      </x:c>
      <x:c r="K978" s="112" t="str">
        <x:v>재게시</x:v>
      </x:c>
      <x:c r="L978" s="112" t="str">
        <x:v>높음</x:v>
      </x:c>
      <x:c r="M978" s="112" t="str">
        <x:v>제목의 펌/퍼옴 표시</x:v>
      </x:c>
      <x:c r="N978" s="116" t="str"/>
      <x:c r="O978" s="116" t="str">
        <x:v>https://m.blog.naver.com/sntu2010/221217529066</x:v>
      </x:c>
      <x:c r="P978" s="112" t="str">
        <x:v>아니오</x:v>
      </x:c>
      <x:c r="Q978" s="113" t="str">
        <x:v>자동 분류·표본 검토 대상</x:v>
      </x:c>
    </x:row>
    <x:row r="979">
      <x:c r="A979" s="100" t="n">
        <x:v>978</x:v>
      </x:c>
      <x:c r="B979" s="101" t="n">
        <x:v>43157</x:v>
      </x:c>
      <x:c r="C979" s="102" t="n">
        <x:v>2018</x:v>
      </x:c>
      <x:c r="D979" s="103" t="str">
        <x:v>ID-221217528730</x:v>
      </x:c>
      <x:c r="E979" s="112" t="str">
        <x:v>[펌]무협 사전 - 나이 한자 호칭.</x:v>
      </x:c>
      <x:c r="F979" s="112" t="str">
        <x:v>창작소재</x:v>
      </x:c>
      <x:c r="G979" s="112" t="str">
        <x:v>공통 창작소재</x:v>
      </x:c>
      <x:c r="H979" s="112" t="str">
        <x:v>작법·상업성</x:v>
      </x:c>
      <x:c r="I979" s="112" t="n">
        <x:v>1</x:v>
      </x:c>
      <x:c r="J979" s="112" t="str">
        <x:v>소재</x:v>
      </x:c>
      <x:c r="K979" s="112" t="str">
        <x:v>재게시</x:v>
      </x:c>
      <x:c r="L979" s="112" t="str">
        <x:v>높음</x:v>
      </x:c>
      <x:c r="M979" s="112" t="str">
        <x:v>제목의 펌/퍼옴 표시</x:v>
      </x:c>
      <x:c r="N979" s="116" t="str"/>
      <x:c r="O979" s="116" t="str">
        <x:v>https://m.blog.naver.com/sntu2010/221217528730</x:v>
      </x:c>
      <x:c r="P979" s="112" t="str">
        <x:v>아니오</x:v>
      </x:c>
      <x:c r="Q979" s="113" t="str">
        <x:v>자동 분류·표본 검토 대상</x:v>
      </x:c>
    </x:row>
    <x:row r="980">
      <x:c r="A980" s="100" t="n">
        <x:v>979</x:v>
      </x:c>
      <x:c r="B980" s="101" t="n">
        <x:v>43157</x:v>
      </x:c>
      <x:c r="C980" s="102" t="n">
        <x:v>2018</x:v>
      </x:c>
      <x:c r="D980" s="103" t="str">
        <x:v>ID-221217528533</x:v>
      </x:c>
      <x:c r="E980" s="112" t="str">
        <x:v>[펌]무협 사전 - 무협지에 관한 기본적인 한자와 지식 [2부]</x:v>
      </x:c>
      <x:c r="F980" s="112" t="str">
        <x:v>창작소재</x:v>
      </x:c>
      <x:c r="G980" s="112" t="str">
        <x:v>공통 창작소재</x:v>
      </x:c>
      <x:c r="H980" s="112" t="str">
        <x:v>작법·상업성</x:v>
      </x:c>
      <x:c r="I980" s="112" t="n">
        <x:v>4</x:v>
      </x:c>
      <x:c r="J980" s="112" t="str">
        <x:v>묘사, 소재</x:v>
      </x:c>
      <x:c r="K980" s="112" t="str">
        <x:v>재게시</x:v>
      </x:c>
      <x:c r="L980" s="112" t="str">
        <x:v>높음</x:v>
      </x:c>
      <x:c r="M980" s="112" t="str">
        <x:v>제목의 펌/퍼옴 표시</x:v>
      </x:c>
      <x:c r="N980" s="116" t="str"/>
      <x:c r="O980" s="116" t="str">
        <x:v>https://m.blog.naver.com/sntu2010/221217528533</x:v>
      </x:c>
      <x:c r="P980" s="112" t="str">
        <x:v>아니오</x:v>
      </x:c>
      <x:c r="Q980" s="113" t="str">
        <x:v>자동 분류·표본 검토 대상</x:v>
      </x:c>
    </x:row>
    <x:row r="981">
      <x:c r="A981" s="100" t="n">
        <x:v>980</x:v>
      </x:c>
      <x:c r="B981" s="101" t="n">
        <x:v>43157</x:v>
      </x:c>
      <x:c r="C981" s="102" t="n">
        <x:v>2018</x:v>
      </x:c>
      <x:c r="D981" s="103" t="str">
        <x:v>ID-221217528288</x:v>
      </x:c>
      <x:c r="E981" s="112" t="str">
        <x:v>[펌]무협 사전 - 무협지에 관한 기본적인 한자와 지식 [1부]</x:v>
      </x:c>
      <x:c r="F981" s="112" t="str">
        <x:v>창작소재</x:v>
      </x:c>
      <x:c r="G981" s="112" t="str">
        <x:v>공통 창작소재</x:v>
      </x:c>
      <x:c r="H981" s="112" t="str">
        <x:v>작법·상업성</x:v>
      </x:c>
      <x:c r="I981" s="112" t="n">
        <x:v>2</x:v>
      </x:c>
      <x:c r="J981" s="112" t="str">
        <x:v>재미, 소재</x:v>
      </x:c>
      <x:c r="K981" s="112" t="str">
        <x:v>재게시</x:v>
      </x:c>
      <x:c r="L981" s="112" t="str">
        <x:v>높음</x:v>
      </x:c>
      <x:c r="M981" s="112" t="str">
        <x:v>제목의 펌/퍼옴 표시</x:v>
      </x:c>
      <x:c r="N981" s="116" t="str"/>
      <x:c r="O981" s="116" t="str">
        <x:v>https://m.blog.naver.com/sntu2010/221217528288</x:v>
      </x:c>
      <x:c r="P981" s="112" t="str">
        <x:v>아니오</x:v>
      </x:c>
      <x:c r="Q981" s="113" t="str">
        <x:v>자동 분류·표본 검토 대상</x:v>
      </x:c>
    </x:row>
    <x:row r="982">
      <x:c r="A982" s="100" t="n">
        <x:v>981</x:v>
      </x:c>
      <x:c r="B982" s="101" t="n">
        <x:v>43157</x:v>
      </x:c>
      <x:c r="C982" s="102" t="n">
        <x:v>2018</x:v>
      </x:c>
      <x:c r="D982" s="103" t="str">
        <x:v>ID-221217527936</x:v>
      </x:c>
      <x:c r="E982" s="112" t="str">
        <x:v>[펌]무협 사전 - 무협의 초식</x:v>
      </x:c>
      <x:c r="F982" s="112" t="str">
        <x:v>창작소재</x:v>
      </x:c>
      <x:c r="G982" s="112" t="str">
        <x:v>공통 창작소재</x:v>
      </x:c>
      <x:c r="H982" s="112" t="str">
        <x:v>작법·상업성</x:v>
      </x:c>
      <x:c r="I982" s="112" t="n">
        <x:v>1</x:v>
      </x:c>
      <x:c r="J982" s="112" t="str">
        <x:v>소재</x:v>
      </x:c>
      <x:c r="K982" s="112" t="str">
        <x:v>재게시</x:v>
      </x:c>
      <x:c r="L982" s="112" t="str">
        <x:v>높음</x:v>
      </x:c>
      <x:c r="M982" s="112" t="str">
        <x:v>제목의 펌/퍼옴 표시</x:v>
      </x:c>
      <x:c r="N982" s="116" t="str"/>
      <x:c r="O982" s="116" t="str">
        <x:v>https://m.blog.naver.com/sntu2010/221217527936</x:v>
      </x:c>
      <x:c r="P982" s="112" t="str">
        <x:v>아니오</x:v>
      </x:c>
      <x:c r="Q982" s="113" t="str">
        <x:v>자동 분류·표본 검토 대상</x:v>
      </x:c>
    </x:row>
    <x:row r="983">
      <x:c r="A983" s="100" t="n">
        <x:v>982</x:v>
      </x:c>
      <x:c r="B983" s="101" t="n">
        <x:v>43157</x:v>
      </x:c>
      <x:c r="C983" s="102" t="n">
        <x:v>2018</x:v>
      </x:c>
      <x:c r="D983" s="103" t="str">
        <x:v>ID-221217527622</x:v>
      </x:c>
      <x:c r="E983" s="112" t="str">
        <x:v>[펌]무협 사전 - 무공상식2</x:v>
      </x:c>
      <x:c r="F983" s="112" t="str">
        <x:v>창작소재</x:v>
      </x:c>
      <x:c r="G983" s="112" t="str">
        <x:v>공통 창작소재</x:v>
      </x:c>
      <x:c r="H983" s="112" t="str">
        <x:v>캐릭터·전개</x:v>
      </x:c>
      <x:c r="I983" s="112" t="n">
        <x:v>1</x:v>
      </x:c>
      <x:c r="J983" s="112" t="str">
        <x:v>주인공</x:v>
      </x:c>
      <x:c r="K983" s="112" t="str">
        <x:v>재게시</x:v>
      </x:c>
      <x:c r="L983" s="112" t="str">
        <x:v>높음</x:v>
      </x:c>
      <x:c r="M983" s="112" t="str">
        <x:v>제목의 펌/퍼옴 표시</x:v>
      </x:c>
      <x:c r="N983" s="116" t="str"/>
      <x:c r="O983" s="116" t="str">
        <x:v>https://m.blog.naver.com/sntu2010/221217527622</x:v>
      </x:c>
      <x:c r="P983" s="112" t="str">
        <x:v>아니오</x:v>
      </x:c>
      <x:c r="Q983" s="113" t="str">
        <x:v>자동 분류·표본 검토 대상</x:v>
      </x:c>
    </x:row>
    <x:row r="984">
      <x:c r="A984" s="100" t="n">
        <x:v>983</x:v>
      </x:c>
      <x:c r="B984" s="101" t="n">
        <x:v>43157</x:v>
      </x:c>
      <x:c r="C984" s="102" t="n">
        <x:v>2018</x:v>
      </x:c>
      <x:c r="D984" s="103" t="str">
        <x:v>ID-221217527371</x:v>
      </x:c>
      <x:c r="E984" s="112" t="str">
        <x:v>[펌]무협 사전 - 무공상식1</x:v>
      </x:c>
      <x:c r="F984" s="112" t="str">
        <x:v>창작소재</x:v>
      </x:c>
      <x:c r="G984" s="112" t="str">
        <x:v>공통 창작소재</x:v>
      </x:c>
      <x:c r="H984" s="112" t="str">
        <x:v>작법·상업성</x:v>
      </x:c>
      <x:c r="I984" s="112" t="n">
        <x:v>1</x:v>
      </x:c>
      <x:c r="J984" s="112" t="str">
        <x:v>소재</x:v>
      </x:c>
      <x:c r="K984" s="112" t="str">
        <x:v>재게시</x:v>
      </x:c>
      <x:c r="L984" s="112" t="str">
        <x:v>높음</x:v>
      </x:c>
      <x:c r="M984" s="112" t="str">
        <x:v>제목의 펌/퍼옴 표시</x:v>
      </x:c>
      <x:c r="N984" s="116" t="str"/>
      <x:c r="O984" s="116" t="str">
        <x:v>https://m.blog.naver.com/sntu2010/221217527371</x:v>
      </x:c>
      <x:c r="P984" s="112" t="str">
        <x:v>아니오</x:v>
      </x:c>
      <x:c r="Q984" s="113" t="str">
        <x:v>자동 분류·표본 검토 대상</x:v>
      </x:c>
    </x:row>
    <x:row r="985">
      <x:c r="A985" s="100" t="n">
        <x:v>984</x:v>
      </x:c>
      <x:c r="B985" s="101" t="n">
        <x:v>43157</x:v>
      </x:c>
      <x:c r="C985" s="102" t="n">
        <x:v>2018</x:v>
      </x:c>
      <x:c r="D985" s="103" t="str">
        <x:v>ID-221217526940</x:v>
      </x:c>
      <x:c r="E985" s="112" t="str">
        <x:v>[펌]창작 사전 - 검의 종류와 무기의 부위별 명칭</x:v>
      </x:c>
      <x:c r="F985" s="112" t="str">
        <x:v>창작소재</x:v>
      </x:c>
      <x:c r="G985" s="112" t="str">
        <x:v>공통 창작소재</x:v>
      </x:c>
      <x:c r="H985" s="112" t="str">
        <x:v>작법·상업성</x:v>
      </x:c>
      <x:c r="I985" s="112" t="n">
        <x:v>1</x:v>
      </x:c>
      <x:c r="J985" s="112" t="str">
        <x:v>소재</x:v>
      </x:c>
      <x:c r="K985" s="112" t="str">
        <x:v>재게시</x:v>
      </x:c>
      <x:c r="L985" s="112" t="str">
        <x:v>높음</x:v>
      </x:c>
      <x:c r="M985" s="112" t="str">
        <x:v>제목의 펌/퍼옴 표시</x:v>
      </x:c>
      <x:c r="N985" s="116" t="str"/>
      <x:c r="O985" s="116" t="str">
        <x:v>https://m.blog.naver.com/sntu2010/221217526940</x:v>
      </x:c>
      <x:c r="P985" s="112" t="str">
        <x:v>아니오</x:v>
      </x:c>
      <x:c r="Q985" s="113" t="str">
        <x:v>자동 분류·표본 검토 대상</x:v>
      </x:c>
    </x:row>
    <x:row r="986">
      <x:c r="A986" s="100" t="n">
        <x:v>985</x:v>
      </x:c>
      <x:c r="B986" s="101" t="n">
        <x:v>43157</x:v>
      </x:c>
      <x:c r="C986" s="102" t="n">
        <x:v>2018</x:v>
      </x:c>
      <x:c r="D986" s="103" t="str">
        <x:v>ID-221217526639</x:v>
      </x:c>
      <x:c r="E986" s="112" t="str">
        <x:v>[펌]무협 사전 - 중국 지도(성 이름만 표기)</x:v>
      </x:c>
      <x:c r="F986" s="112" t="str">
        <x:v>창작소재</x:v>
      </x:c>
      <x:c r="G986" s="112" t="str">
        <x:v>공통 창작소재</x:v>
      </x:c>
      <x:c r="H986" s="112" t="str">
        <x:v>작법·상업성</x:v>
      </x:c>
      <x:c r="I986" s="112" t="n">
        <x:v>1</x:v>
      </x:c>
      <x:c r="J986" s="112" t="str">
        <x:v>소재</x:v>
      </x:c>
      <x:c r="K986" s="112" t="str">
        <x:v>재게시</x:v>
      </x:c>
      <x:c r="L986" s="112" t="str">
        <x:v>높음</x:v>
      </x:c>
      <x:c r="M986" s="112" t="str">
        <x:v>제목의 펌/퍼옴 표시</x:v>
      </x:c>
      <x:c r="N986" s="116" t="str">
        <x:v>http://square.munpia.com/boPds_1/page/5/beSrl/417314</x:v>
      </x:c>
      <x:c r="O986" s="116" t="str">
        <x:v>https://m.blog.naver.com/sntu2010/221217526639</x:v>
      </x:c>
      <x:c r="P986" s="112" t="str">
        <x:v>아니오</x:v>
      </x:c>
      <x:c r="Q986" s="113" t="str">
        <x:v>자동 분류·표본 검토 대상</x:v>
      </x:c>
    </x:row>
    <x:row r="987">
      <x:c r="A987" s="100" t="n">
        <x:v>986</x:v>
      </x:c>
      <x:c r="B987" s="101" t="n">
        <x:v>43157</x:v>
      </x:c>
      <x:c r="C987" s="102" t="n">
        <x:v>2018</x:v>
      </x:c>
      <x:c r="D987" s="103" t="str">
        <x:v>ID-221217526351</x:v>
      </x:c>
      <x:c r="E987" s="112" t="str">
        <x:v>[펌]무협 사전 - 무림 지도.exe</x:v>
      </x:c>
      <x:c r="F987" s="112" t="str">
        <x:v>창작소재</x:v>
      </x:c>
      <x:c r="G987" s="112" t="str">
        <x:v>공통 창작소재</x:v>
      </x:c>
      <x:c r="H987" s="112" t="str">
        <x:v>작법·상업성</x:v>
      </x:c>
      <x:c r="I987" s="112" t="n">
        <x:v>1</x:v>
      </x:c>
      <x:c r="J987" s="112" t="str">
        <x:v>소재</x:v>
      </x:c>
      <x:c r="K987" s="112" t="str">
        <x:v>재게시</x:v>
      </x:c>
      <x:c r="L987" s="112" t="str">
        <x:v>높음</x:v>
      </x:c>
      <x:c r="M987" s="112" t="str">
        <x:v>제목의 펌/퍼옴 표시</x:v>
      </x:c>
      <x:c r="N987" s="116" t="str">
        <x:v>http://square.munpia.com/boPds_1/page/5/beSrl/417920</x:v>
      </x:c>
      <x:c r="O987" s="116" t="str">
        <x:v>https://m.blog.naver.com/sntu2010/221217526351</x:v>
      </x:c>
      <x:c r="P987" s="112" t="str">
        <x:v>아니오</x:v>
      </x:c>
      <x:c r="Q987" s="113" t="str">
        <x:v>자동 분류·표본 검토 대상</x:v>
      </x:c>
    </x:row>
    <x:row r="988">
      <x:c r="A988" s="100" t="n">
        <x:v>987</x:v>
      </x:c>
      <x:c r="B988" s="101" t="n">
        <x:v>43157</x:v>
      </x:c>
      <x:c r="C988" s="102" t="n">
        <x:v>2018</x:v>
      </x:c>
      <x:c r="D988" s="103" t="str">
        <x:v>ID-221217525416</x:v>
      </x:c>
      <x:c r="E988" s="112" t="str">
        <x:v>[펌]무협 사전 - 각 성의 이름의 유래 및 변천</x:v>
      </x:c>
      <x:c r="F988" s="112" t="str">
        <x:v>창작소재</x:v>
      </x:c>
      <x:c r="G988" s="112" t="str">
        <x:v>공통 창작소재</x:v>
      </x:c>
      <x:c r="H988" s="112" t="str">
        <x:v>작법·상업성</x:v>
      </x:c>
      <x:c r="I988" s="112" t="n">
        <x:v>2</x:v>
      </x:c>
      <x:c r="J988" s="112" t="str">
        <x:v>재미, 소재</x:v>
      </x:c>
      <x:c r="K988" s="112" t="str">
        <x:v>재게시</x:v>
      </x:c>
      <x:c r="L988" s="112" t="str">
        <x:v>높음</x:v>
      </x:c>
      <x:c r="M988" s="112" t="str">
        <x:v>제목의 펌/퍼옴 표시</x:v>
      </x:c>
      <x:c r="N988" s="116" t="str"/>
      <x:c r="O988" s="116" t="str">
        <x:v>https://m.blog.naver.com/sntu2010/221217525416</x:v>
      </x:c>
      <x:c r="P988" s="112" t="str">
        <x:v>아니오</x:v>
      </x:c>
      <x:c r="Q988" s="113" t="str">
        <x:v>자동 분류·표본 검토 대상</x:v>
      </x:c>
    </x:row>
    <x:row r="989">
      <x:c r="A989" s="100" t="n">
        <x:v>988</x:v>
      </x:c>
      <x:c r="B989" s="101" t="n">
        <x:v>43157</x:v>
      </x:c>
      <x:c r="C989" s="102" t="n">
        <x:v>2018</x:v>
      </x:c>
      <x:c r="D989" s="103" t="str">
        <x:v>ID-221217525042</x:v>
      </x:c>
      <x:c r="E989" s="112" t="str">
        <x:v>[펌]무협 사전 - 마교(魔敎)에 관하여</x:v>
      </x:c>
      <x:c r="F989" s="112" t="str">
        <x:v>창작소재</x:v>
      </x:c>
      <x:c r="G989" s="112" t="str">
        <x:v>공통 창작소재</x:v>
      </x:c>
      <x:c r="H989" s="112" t="str">
        <x:v>작법·상업성</x:v>
      </x:c>
      <x:c r="I989" s="112" t="n">
        <x:v>1</x:v>
      </x:c>
      <x:c r="J989" s="112" t="str">
        <x:v>소재</x:v>
      </x:c>
      <x:c r="K989" s="112" t="str">
        <x:v>재게시</x:v>
      </x:c>
      <x:c r="L989" s="112" t="str">
        <x:v>높음</x:v>
      </x:c>
      <x:c r="M989" s="112" t="str">
        <x:v>제목의 펌/퍼옴 표시</x:v>
      </x:c>
      <x:c r="N989" s="116" t="str"/>
      <x:c r="O989" s="116" t="str">
        <x:v>https://m.blog.naver.com/sntu2010/221217525042</x:v>
      </x:c>
      <x:c r="P989" s="112" t="str">
        <x:v>아니오</x:v>
      </x:c>
      <x:c r="Q989" s="113" t="str">
        <x:v>자동 분류·표본 검토 대상</x:v>
      </x:c>
    </x:row>
    <x:row r="990">
      <x:c r="A990" s="100" t="n">
        <x:v>989</x:v>
      </x:c>
      <x:c r="B990" s="101" t="n">
        <x:v>43157</x:v>
      </x:c>
      <x:c r="C990" s="102" t="n">
        <x:v>2018</x:v>
      </x:c>
      <x:c r="D990" s="103" t="str">
        <x:v>ID-221217524523</x:v>
      </x:c>
      <x:c r="E990" s="112" t="str">
        <x:v>[펌]무협 사전 - 무협 시대 지도</x:v>
      </x:c>
      <x:c r="F990" s="112" t="str">
        <x:v>창작소재</x:v>
      </x:c>
      <x:c r="G990" s="112" t="str">
        <x:v>공통 창작소재</x:v>
      </x:c>
      <x:c r="H990" s="112" t="str">
        <x:v>작법·상업성</x:v>
      </x:c>
      <x:c r="I990" s="112" t="n">
        <x:v>1</x:v>
      </x:c>
      <x:c r="J990" s="112" t="str">
        <x:v>소재</x:v>
      </x:c>
      <x:c r="K990" s="112" t="str">
        <x:v>재게시</x:v>
      </x:c>
      <x:c r="L990" s="112" t="str">
        <x:v>높음</x:v>
      </x:c>
      <x:c r="M990" s="112" t="str">
        <x:v>제목의 펌/퍼옴 표시</x:v>
      </x:c>
      <x:c r="N990" s="116" t="str">
        <x:v>http://square.munpia.com/boPds_1/page/5/beSrl/463123</x:v>
      </x:c>
      <x:c r="O990" s="116" t="str">
        <x:v>https://m.blog.naver.com/sntu2010/221217524523</x:v>
      </x:c>
      <x:c r="P990" s="112" t="str">
        <x:v>아니오</x:v>
      </x:c>
      <x:c r="Q990" s="113" t="str">
        <x:v>자동 분류·표본 검토 대상</x:v>
      </x:c>
    </x:row>
    <x:row r="991">
      <x:c r="A991" s="100" t="n">
        <x:v>990</x:v>
      </x:c>
      <x:c r="B991" s="101" t="n">
        <x:v>43157</x:v>
      </x:c>
      <x:c r="C991" s="102" t="n">
        <x:v>2018</x:v>
      </x:c>
      <x:c r="D991" s="103" t="str">
        <x:v>ID-221217524281</x:v>
      </x:c>
      <x:c r="E991" s="112" t="str">
        <x:v>[펌]무협 사전 - 무협용어 정리 ㄱ~ㅎ</x:v>
      </x:c>
      <x:c r="F991" s="112" t="str">
        <x:v>창작소재</x:v>
      </x:c>
      <x:c r="G991" s="112" t="str">
        <x:v>공통 창작소재</x:v>
      </x:c>
      <x:c r="H991" s="112" t="str">
        <x:v>작법·상업성</x:v>
      </x:c>
      <x:c r="I991" s="112" t="n">
        <x:v>1</x:v>
      </x:c>
      <x:c r="J991" s="112" t="str">
        <x:v>소재</x:v>
      </x:c>
      <x:c r="K991" s="112" t="str">
        <x:v>재게시</x:v>
      </x:c>
      <x:c r="L991" s="112" t="str">
        <x:v>높음</x:v>
      </x:c>
      <x:c r="M991" s="112" t="str">
        <x:v>제목의 펌/퍼옴 표시</x:v>
      </x:c>
      <x:c r="N991" s="116" t="str"/>
      <x:c r="O991" s="116" t="str">
        <x:v>https://m.blog.naver.com/sntu2010/221217524281</x:v>
      </x:c>
      <x:c r="P991" s="112" t="str">
        <x:v>아니오</x:v>
      </x:c>
      <x:c r="Q991" s="113" t="str">
        <x:v>자동 분류·표본 검토 대상</x:v>
      </x:c>
    </x:row>
    <x:row r="992">
      <x:c r="A992" s="100" t="n">
        <x:v>991</x:v>
      </x:c>
      <x:c r="B992" s="101" t="n">
        <x:v>43157</x:v>
      </x:c>
      <x:c r="C992" s="102" t="n">
        <x:v>2018</x:v>
      </x:c>
      <x:c r="D992" s="103" t="str">
        <x:v>ID-221217524070</x:v>
      </x:c>
      <x:c r="E992" s="112" t="str">
        <x:v>[펌]무협 사전 - 무협의 나이를 나타내는 형용어?</x:v>
      </x:c>
      <x:c r="F992" s="112" t="str">
        <x:v>창작소재</x:v>
      </x:c>
      <x:c r="G992" s="112" t="str">
        <x:v>공통 창작소재</x:v>
      </x:c>
      <x:c r="H992" s="112" t="str">
        <x:v>작법·상업성</x:v>
      </x:c>
      <x:c r="I992" s="112" t="n">
        <x:v>1</x:v>
      </x:c>
      <x:c r="J992" s="112" t="str">
        <x:v>소재</x:v>
      </x:c>
      <x:c r="K992" s="112" t="str">
        <x:v>재게시</x:v>
      </x:c>
      <x:c r="L992" s="112" t="str">
        <x:v>높음</x:v>
      </x:c>
      <x:c r="M992" s="112" t="str">
        <x:v>제목의 펌/퍼옴 표시</x:v>
      </x:c>
      <x:c r="N992" s="116" t="str">
        <x:v>http://square.munpia.com/boPds_1/page/5/beSrl/475578</x:v>
      </x:c>
      <x:c r="O992" s="116" t="str">
        <x:v>https://m.blog.naver.com/sntu2010/221217524070</x:v>
      </x:c>
      <x:c r="P992" s="112" t="str">
        <x:v>아니오</x:v>
      </x:c>
      <x:c r="Q992" s="113" t="str">
        <x:v>자동 분류·표본 검토 대상</x:v>
      </x:c>
    </x:row>
    <x:row r="993">
      <x:c r="A993" s="100" t="n">
        <x:v>992</x:v>
      </x:c>
      <x:c r="B993" s="101" t="n">
        <x:v>43157</x:v>
      </x:c>
      <x:c r="C993" s="102" t="n">
        <x:v>2018</x:v>
      </x:c>
      <x:c r="D993" s="103" t="str">
        <x:v>ID-221217523901</x:v>
      </x:c>
      <x:c r="E993" s="112" t="str">
        <x:v>[펌]무협 사전 - 내공의 경지 확장수정</x:v>
      </x:c>
      <x:c r="F993" s="112" t="str">
        <x:v>창작소재</x:v>
      </x:c>
      <x:c r="G993" s="112" t="str">
        <x:v>공통 창작소재</x:v>
      </x:c>
      <x:c r="H993" s="112" t="str">
        <x:v>작법·상업성</x:v>
      </x:c>
      <x:c r="I993" s="112" t="n">
        <x:v>1</x:v>
      </x:c>
      <x:c r="J993" s="112" t="str">
        <x:v>소재</x:v>
      </x:c>
      <x:c r="K993" s="112" t="str">
        <x:v>재게시</x:v>
      </x:c>
      <x:c r="L993" s="112" t="str">
        <x:v>높음</x:v>
      </x:c>
      <x:c r="M993" s="112" t="str">
        <x:v>제목의 펌/퍼옴 표시</x:v>
      </x:c>
      <x:c r="N993" s="116" t="str"/>
      <x:c r="O993" s="116" t="str">
        <x:v>https://m.blog.naver.com/sntu2010/221217523901</x:v>
      </x:c>
      <x:c r="P993" s="112" t="str">
        <x:v>아니오</x:v>
      </x:c>
      <x:c r="Q993" s="113" t="str">
        <x:v>자동 분류·표본 검토 대상</x:v>
      </x:c>
    </x:row>
    <x:row r="994">
      <x:c r="A994" s="100" t="n">
        <x:v>993</x:v>
      </x:c>
      <x:c r="B994" s="101" t="n">
        <x:v>43157</x:v>
      </x:c>
      <x:c r="C994" s="102" t="n">
        <x:v>2018</x:v>
      </x:c>
      <x:c r="D994" s="103" t="str">
        <x:v>ID-221217523673</x:v>
      </x:c>
      <x:c r="E994" s="112" t="str">
        <x:v>[펌]무협 사전 - 주화입마에 관한 글(펌)</x:v>
      </x:c>
      <x:c r="F994" s="112" t="str">
        <x:v>창작소재</x:v>
      </x:c>
      <x:c r="G994" s="112" t="str">
        <x:v>공통 창작소재</x:v>
      </x:c>
      <x:c r="H994" s="112" t="str">
        <x:v>작법·상업성</x:v>
      </x:c>
      <x:c r="I994" s="112" t="n">
        <x:v>1</x:v>
      </x:c>
      <x:c r="J994" s="112" t="str">
        <x:v>소재</x:v>
      </x:c>
      <x:c r="K994" s="112" t="str">
        <x:v>재게시</x:v>
      </x:c>
      <x:c r="L994" s="112" t="str">
        <x:v>높음</x:v>
      </x:c>
      <x:c r="M994" s="112" t="str">
        <x:v>제목의 펌/퍼옴 표시</x:v>
      </x:c>
      <x:c r="N994" s="116" t="str"/>
      <x:c r="O994" s="116" t="str">
        <x:v>https://m.blog.naver.com/sntu2010/221217523673</x:v>
      </x:c>
      <x:c r="P994" s="112" t="str">
        <x:v>아니오</x:v>
      </x:c>
      <x:c r="Q994" s="113" t="str">
        <x:v>자동 분류·표본 검토 대상</x:v>
      </x:c>
    </x:row>
    <x:row r="995">
      <x:c r="A995" s="100" t="n">
        <x:v>994</x:v>
      </x:c>
      <x:c r="B995" s="101" t="n">
        <x:v>43157</x:v>
      </x:c>
      <x:c r="C995" s="102" t="n">
        <x:v>2018</x:v>
      </x:c>
      <x:c r="D995" s="103" t="str">
        <x:v>ID-221217523414</x:v>
      </x:c>
      <x:c r="E995" s="112" t="str">
        <x:v>[펌]무협 사전 - 기경팔맥 운기법</x:v>
      </x:c>
      <x:c r="F995" s="112" t="str">
        <x:v>창작소재</x:v>
      </x:c>
      <x:c r="G995" s="112" t="str">
        <x:v>공통 창작소재</x:v>
      </x:c>
      <x:c r="H995" s="112" t="str">
        <x:v>작법·상업성</x:v>
      </x:c>
      <x:c r="I995" s="112" t="n">
        <x:v>1</x:v>
      </x:c>
      <x:c r="J995" s="112" t="str">
        <x:v>소재</x:v>
      </x:c>
      <x:c r="K995" s="112" t="str">
        <x:v>재게시</x:v>
      </x:c>
      <x:c r="L995" s="112" t="str">
        <x:v>높음</x:v>
      </x:c>
      <x:c r="M995" s="112" t="str">
        <x:v>제목의 펌/퍼옴 표시</x:v>
      </x:c>
      <x:c r="N995" s="116" t="str">
        <x:v>http://square.munpia.com/boPds_1/page/4/beSrl/476028</x:v>
      </x:c>
      <x:c r="O995" s="116" t="str">
        <x:v>https://m.blog.naver.com/sntu2010/221217523414</x:v>
      </x:c>
      <x:c r="P995" s="112" t="str">
        <x:v>아니오</x:v>
      </x:c>
      <x:c r="Q995" s="113" t="str">
        <x:v>자동 분류·표본 검토 대상</x:v>
      </x:c>
    </x:row>
    <x:row r="996">
      <x:c r="A996" s="100" t="n">
        <x:v>995</x:v>
      </x:c>
      <x:c r="B996" s="101" t="n">
        <x:v>43157</x:v>
      </x:c>
      <x:c r="C996" s="102" t="n">
        <x:v>2018</x:v>
      </x:c>
      <x:c r="D996" s="103" t="str">
        <x:v>ID-221217522911</x:v>
      </x:c>
      <x:c r="E996" s="112" t="str">
        <x:v>[펌]무협 사전 - 근위대(호위대)와 친위대의 차이점</x:v>
      </x:c>
      <x:c r="F996" s="112" t="str">
        <x:v>창작소재</x:v>
      </x:c>
      <x:c r="G996" s="112" t="str">
        <x:v>공통 창작소재</x:v>
      </x:c>
      <x:c r="H996" s="112" t="str">
        <x:v>작법·상업성</x:v>
      </x:c>
      <x:c r="I996" s="112" t="n">
        <x:v>1</x:v>
      </x:c>
      <x:c r="J996" s="112" t="str">
        <x:v>소재</x:v>
      </x:c>
      <x:c r="K996" s="112" t="str">
        <x:v>재게시</x:v>
      </x:c>
      <x:c r="L996" s="112" t="str">
        <x:v>높음</x:v>
      </x:c>
      <x:c r="M996" s="112" t="str">
        <x:v>제목의 펌/퍼옴 표시</x:v>
      </x:c>
      <x:c r="N996" s="116" t="str"/>
      <x:c r="O996" s="116" t="str">
        <x:v>https://m.blog.naver.com/sntu2010/221217522911</x:v>
      </x:c>
      <x:c r="P996" s="112" t="str">
        <x:v>아니오</x:v>
      </x:c>
      <x:c r="Q996" s="113" t="str">
        <x:v>자동 분류·표본 검토 대상</x:v>
      </x:c>
    </x:row>
    <x:row r="997">
      <x:c r="A997" s="100" t="n">
        <x:v>996</x:v>
      </x:c>
      <x:c r="B997" s="101" t="n">
        <x:v>43157</x:v>
      </x:c>
      <x:c r="C997" s="102" t="n">
        <x:v>2018</x:v>
      </x:c>
      <x:c r="D997" s="103" t="str">
        <x:v>ID-221217522639</x:v>
      </x:c>
      <x:c r="E997" s="112" t="str">
        <x:v>[펌]창작 사전 - 고대 중국의 전설, 신화속의 정령과 요괴들2</x:v>
      </x:c>
      <x:c r="F997" s="112" t="str">
        <x:v>창작소재</x:v>
      </x:c>
      <x:c r="G997" s="112" t="str">
        <x:v>공통 창작소재</x:v>
      </x:c>
      <x:c r="H997" s="112" t="str">
        <x:v>작법·상업성</x:v>
      </x:c>
      <x:c r="I997" s="112" t="n">
        <x:v>1</x:v>
      </x:c>
      <x:c r="J997" s="112" t="str">
        <x:v>소재</x:v>
      </x:c>
      <x:c r="K997" s="112" t="str">
        <x:v>재게시</x:v>
      </x:c>
      <x:c r="L997" s="112" t="str">
        <x:v>높음</x:v>
      </x:c>
      <x:c r="M997" s="112" t="str">
        <x:v>제목의 펌/퍼옴 표시</x:v>
      </x:c>
      <x:c r="N997" s="116" t="str"/>
      <x:c r="O997" s="116" t="str">
        <x:v>https://m.blog.naver.com/sntu2010/221217522639</x:v>
      </x:c>
      <x:c r="P997" s="112" t="str">
        <x:v>아니오</x:v>
      </x:c>
      <x:c r="Q997" s="113" t="str">
        <x:v>자동 분류·표본 검토 대상</x:v>
      </x:c>
    </x:row>
    <x:row r="998">
      <x:c r="A998" s="100" t="n">
        <x:v>997</x:v>
      </x:c>
      <x:c r="B998" s="101" t="n">
        <x:v>43157</x:v>
      </x:c>
      <x:c r="C998" s="102" t="n">
        <x:v>2018</x:v>
      </x:c>
      <x:c r="D998" s="103" t="str">
        <x:v>ID-221217522414</x:v>
      </x:c>
      <x:c r="E998" s="112" t="str">
        <x:v>[펌]창작 사전 - 고대 중국의 전설, 신화속의 정령과 요괴들1</x:v>
      </x:c>
      <x:c r="F998" s="112" t="str">
        <x:v>창작소재</x:v>
      </x:c>
      <x:c r="G998" s="112" t="str">
        <x:v>공통 창작소재</x:v>
      </x:c>
      <x:c r="H998" s="112" t="str">
        <x:v>작법·상업성</x:v>
      </x:c>
      <x:c r="I998" s="112" t="n">
        <x:v>1</x:v>
      </x:c>
      <x:c r="J998" s="112" t="str">
        <x:v>소재</x:v>
      </x:c>
      <x:c r="K998" s="112" t="str">
        <x:v>재게시</x:v>
      </x:c>
      <x:c r="L998" s="112" t="str">
        <x:v>높음</x:v>
      </x:c>
      <x:c r="M998" s="112" t="str">
        <x:v>제목의 펌/퍼옴 표시</x:v>
      </x:c>
      <x:c r="N998" s="116" t="str"/>
      <x:c r="O998" s="116" t="str">
        <x:v>https://m.blog.naver.com/sntu2010/221217522414</x:v>
      </x:c>
      <x:c r="P998" s="112" t="str">
        <x:v>아니오</x:v>
      </x:c>
      <x:c r="Q998" s="113" t="str">
        <x:v>자동 분류·표본 검토 대상</x:v>
      </x:c>
    </x:row>
    <x:row r="999">
      <x:c r="A999" s="100" t="n">
        <x:v>998</x:v>
      </x:c>
      <x:c r="B999" s="101" t="n">
        <x:v>43157</x:v>
      </x:c>
      <x:c r="C999" s="102" t="n">
        <x:v>2018</x:v>
      </x:c>
      <x:c r="D999" s="103" t="str">
        <x:v>ID-221217522121</x:v>
      </x:c>
      <x:c r="E999" s="112" t="str">
        <x:v>[펌]창작 사전 - 세계의 유명한 동양적인 정령, 요괴(동양 판타지)소설들 리뷰</x:v>
      </x:c>
      <x:c r="F999" s="112" t="str">
        <x:v>창작소재</x:v>
      </x:c>
      <x:c r="G999" s="112" t="str">
        <x:v>공통 창작소재</x:v>
      </x:c>
      <x:c r="H999" s="112" t="str">
        <x:v>작법·상업성</x:v>
      </x:c>
      <x:c r="I999" s="112" t="n">
        <x:v>2</x:v>
      </x:c>
      <x:c r="J999" s="112" t="str">
        <x:v>묘사, 소재</x:v>
      </x:c>
      <x:c r="K999" s="112" t="str">
        <x:v>재게시</x:v>
      </x:c>
      <x:c r="L999" s="112" t="str">
        <x:v>높음</x:v>
      </x:c>
      <x:c r="M999" s="112" t="str">
        <x:v>제목의 펌/퍼옴 표시</x:v>
      </x:c>
      <x:c r="N999" s="116" t="str"/>
      <x:c r="O999" s="116" t="str">
        <x:v>https://m.blog.naver.com/sntu2010/221217522121</x:v>
      </x:c>
      <x:c r="P999" s="112" t="str">
        <x:v>아니오</x:v>
      </x:c>
      <x:c r="Q999" s="113" t="str">
        <x:v>자동 분류·표본 검토 대상</x:v>
      </x:c>
    </x:row>
    <x:row r="1000">
      <x:c r="A1000" s="100" t="n">
        <x:v>999</x:v>
      </x:c>
      <x:c r="B1000" s="101" t="n">
        <x:v>43157</x:v>
      </x:c>
      <x:c r="C1000" s="102" t="n">
        <x:v>2018</x:v>
      </x:c>
      <x:c r="D1000" s="103" t="str">
        <x:v>ID-221217521604</x:v>
      </x:c>
      <x:c r="E1000" s="112" t="str">
        <x:v>[펌]무협 사전 - 무협소설에나오는 광물이 궁금합니다</x:v>
      </x:c>
      <x:c r="F1000" s="112" t="str">
        <x:v>창작소재</x:v>
      </x:c>
      <x:c r="G1000" s="112" t="str">
        <x:v>공통 창작소재</x:v>
      </x:c>
      <x:c r="H1000" s="112" t="str">
        <x:v>작법·상업성</x:v>
      </x:c>
      <x:c r="I1000" s="112" t="n">
        <x:v>1</x:v>
      </x:c>
      <x:c r="J1000" s="112" t="str">
        <x:v>소재</x:v>
      </x:c>
      <x:c r="K1000" s="112" t="str">
        <x:v>재게시</x:v>
      </x:c>
      <x:c r="L1000" s="112" t="str">
        <x:v>높음</x:v>
      </x:c>
      <x:c r="M1000" s="112" t="str">
        <x:v>제목의 펌/퍼옴 표시</x:v>
      </x:c>
      <x:c r="N1000" s="116" t="str"/>
      <x:c r="O1000" s="116" t="str">
        <x:v>https://m.blog.naver.com/sntu2010/221217521604</x:v>
      </x:c>
      <x:c r="P1000" s="112" t="str">
        <x:v>아니오</x:v>
      </x:c>
      <x:c r="Q1000" s="113" t="str">
        <x:v>자동 분류·표본 검토 대상</x:v>
      </x:c>
    </x:row>
    <x:row r="1001">
      <x:c r="A1001" s="100" t="n">
        <x:v>1000</x:v>
      </x:c>
      <x:c r="B1001" s="101" t="n">
        <x:v>43157</x:v>
      </x:c>
      <x:c r="C1001" s="102" t="n">
        <x:v>2018</x:v>
      </x:c>
      <x:c r="D1001" s="103" t="str">
        <x:v>ID-221217521144</x:v>
      </x:c>
      <x:c r="E1001" s="112" t="str">
        <x:v>[펌]무협 사전 - 무협 계급 체계가 궁금합니다</x:v>
      </x:c>
      <x:c r="F1001" s="112" t="str">
        <x:v>창작소재</x:v>
      </x:c>
      <x:c r="G1001" s="112" t="str">
        <x:v>공통 창작소재</x:v>
      </x:c>
      <x:c r="H1001" s="112" t="str">
        <x:v>작법·상업성</x:v>
      </x:c>
      <x:c r="I1001" s="112" t="n">
        <x:v>1</x:v>
      </x:c>
      <x:c r="J1001" s="112" t="str">
        <x:v>소재</x:v>
      </x:c>
      <x:c r="K1001" s="112" t="str">
        <x:v>재게시</x:v>
      </x:c>
      <x:c r="L1001" s="112" t="str">
        <x:v>높음</x:v>
      </x:c>
      <x:c r="M1001" s="112" t="str">
        <x:v>제목의 펌/퍼옴 표시</x:v>
      </x:c>
      <x:c r="N1001" s="116" t="str"/>
      <x:c r="O1001" s="116" t="str">
        <x:v>https://m.blog.naver.com/sntu2010/221217521144</x:v>
      </x:c>
      <x:c r="P1001" s="112" t="str">
        <x:v>아니오</x:v>
      </x:c>
      <x:c r="Q1001" s="113" t="str">
        <x:v>자동 분류·표본 검토 대상</x:v>
      </x:c>
    </x:row>
    <x:row r="1002">
      <x:c r="A1002" s="100" t="n">
        <x:v>1001</x:v>
      </x:c>
      <x:c r="B1002" s="101" t="n">
        <x:v>43157</x:v>
      </x:c>
      <x:c r="C1002" s="102" t="n">
        <x:v>2018</x:v>
      </x:c>
      <x:c r="D1002" s="103" t="str">
        <x:v>ID-221217520603</x:v>
      </x:c>
      <x:c r="E1002" s="112" t="str">
        <x:v>[펌]무협 사전 - 무협에서 많이 쓰이는 혈 좀 알려주세요;</x:v>
      </x:c>
      <x:c r="F1002" s="112" t="str">
        <x:v>창작소재</x:v>
      </x:c>
      <x:c r="G1002" s="112" t="str">
        <x:v>공통 창작소재</x:v>
      </x:c>
      <x:c r="H1002" s="112" t="str">
        <x:v>플랫폼·투고·계약</x:v>
      </x:c>
      <x:c r="I1002" s="112" t="n">
        <x:v>1</x:v>
      </x:c>
      <x:c r="J1002" s="112" t="str">
        <x:v>네이버</x:v>
      </x:c>
      <x:c r="K1002" s="112" t="str">
        <x:v>재게시</x:v>
      </x:c>
      <x:c r="L1002" s="112" t="str">
        <x:v>높음</x:v>
      </x:c>
      <x:c r="M1002" s="112" t="str">
        <x:v>제목의 펌/퍼옴 표시</x:v>
      </x:c>
      <x:c r="N1002" s="116" t="str">
        <x:v>http://square.munpia.com/boPds_1/page/2/beSrl/562598</x:v>
      </x:c>
      <x:c r="O1002" s="116" t="str">
        <x:v>https://m.blog.naver.com/sntu2010/221217520603</x:v>
      </x:c>
      <x:c r="P1002" s="112" t="str">
        <x:v>아니오</x:v>
      </x:c>
      <x:c r="Q1002" s="113" t="str">
        <x:v>자동 분류·표본 검토 대상</x:v>
      </x:c>
    </x:row>
    <x:row r="1003">
      <x:c r="A1003" s="100" t="n">
        <x:v>1002</x:v>
      </x:c>
      <x:c r="B1003" s="101" t="n">
        <x:v>43157</x:v>
      </x:c>
      <x:c r="C1003" s="102" t="n">
        <x:v>2018</x:v>
      </x:c>
      <x:c r="D1003" s="103" t="str">
        <x:v>ID-221217520326</x:v>
      </x:c>
      <x:c r="E1003" s="112" t="str">
        <x:v>[펌]무협 사전 - 배분에 대해서 좀 알려주세요.</x:v>
      </x:c>
      <x:c r="F1003" s="112" t="str">
        <x:v>창작소재</x:v>
      </x:c>
      <x:c r="G1003" s="112" t="str">
        <x:v>공통 창작소재</x:v>
      </x:c>
      <x:c r="H1003" s="112" t="str">
        <x:v>작법·상업성</x:v>
      </x:c>
      <x:c r="I1003" s="112" t="n">
        <x:v>2</x:v>
      </x:c>
      <x:c r="J1003" s="112" t="str">
        <x:v>제목, 소재</x:v>
      </x:c>
      <x:c r="K1003" s="112" t="str">
        <x:v>재게시</x:v>
      </x:c>
      <x:c r="L1003" s="112" t="str">
        <x:v>높음</x:v>
      </x:c>
      <x:c r="M1003" s="112" t="str">
        <x:v>제목의 펌/퍼옴 표시</x:v>
      </x:c>
      <x:c r="N1003" s="116" t="str"/>
      <x:c r="O1003" s="116" t="str">
        <x:v>https://m.blog.naver.com/sntu2010/221217520326</x:v>
      </x:c>
      <x:c r="P1003" s="112" t="str">
        <x:v>아니오</x:v>
      </x:c>
      <x:c r="Q1003" s="113" t="str">
        <x:v>자동 분류·표본 검토 대상</x:v>
      </x:c>
    </x:row>
    <x:row r="1004">
      <x:c r="A1004" s="100" t="n">
        <x:v>1003</x:v>
      </x:c>
      <x:c r="B1004" s="101" t="n">
        <x:v>43157</x:v>
      </x:c>
      <x:c r="C1004" s="102" t="n">
        <x:v>2018</x:v>
      </x:c>
      <x:c r="D1004" s="103" t="str">
        <x:v>ID-221217519995</x:v>
      </x:c>
      <x:c r="E1004" s="112" t="str">
        <x:v>[펌]무협 사전 - 금 자 한냥이 은자로 몇 개인가요??</x:v>
      </x:c>
      <x:c r="F1004" s="112" t="str">
        <x:v>창작소재</x:v>
      </x:c>
      <x:c r="G1004" s="112" t="str">
        <x:v>공통 창작소재</x:v>
      </x:c>
      <x:c r="H1004" s="112" t="str">
        <x:v>작법·상업성</x:v>
      </x:c>
      <x:c r="I1004" s="112" t="n">
        <x:v>2</x:v>
      </x:c>
      <x:c r="J1004" s="112" t="str">
        <x:v>제목, 소재</x:v>
      </x:c>
      <x:c r="K1004" s="112" t="str">
        <x:v>재게시</x:v>
      </x:c>
      <x:c r="L1004" s="112" t="str">
        <x:v>높음</x:v>
      </x:c>
      <x:c r="M1004" s="112" t="str">
        <x:v>제목의 펌/퍼옴 표시</x:v>
      </x:c>
      <x:c r="N1004" s="116" t="str"/>
      <x:c r="O1004" s="116" t="str">
        <x:v>https://m.blog.naver.com/sntu2010/221217519995</x:v>
      </x:c>
      <x:c r="P1004" s="112" t="str">
        <x:v>아니오</x:v>
      </x:c>
      <x:c r="Q1004" s="113" t="str">
        <x:v>자동 분류·표본 검토 대상</x:v>
      </x:c>
    </x:row>
    <x:row r="1005">
      <x:c r="A1005" s="100" t="n">
        <x:v>1004</x:v>
      </x:c>
      <x:c r="B1005" s="101" t="n">
        <x:v>43157</x:v>
      </x:c>
      <x:c r="C1005" s="102" t="n">
        <x:v>2018</x:v>
      </x:c>
      <x:c r="D1005" s="103" t="str">
        <x:v>ID-221217519231</x:v>
      </x:c>
      <x:c r="E1005" s="112" t="str">
        <x:v>[펌]무협 사전 - 인시, 해시 등등 시간에 대한 정확한 정의</x:v>
      </x:c>
      <x:c r="F1005" s="112" t="str">
        <x:v>창작소재</x:v>
      </x:c>
      <x:c r="G1005" s="112" t="str">
        <x:v>공통 창작소재</x:v>
      </x:c>
      <x:c r="H1005" s="112" t="str">
        <x:v>작법·상업성</x:v>
      </x:c>
      <x:c r="I1005" s="112" t="n">
        <x:v>1</x:v>
      </x:c>
      <x:c r="J1005" s="112" t="str">
        <x:v>소재</x:v>
      </x:c>
      <x:c r="K1005" s="112" t="str">
        <x:v>재게시</x:v>
      </x:c>
      <x:c r="L1005" s="112" t="str">
        <x:v>높음</x:v>
      </x:c>
      <x:c r="M1005" s="112" t="str">
        <x:v>제목의 펌/퍼옴 표시</x:v>
      </x:c>
      <x:c r="N1005" s="116" t="str">
        <x:v>http://kin.naver.com/qna/detail.nhn?d1id=11&amp;dirId=11080102&amp;docId=61353465&amp;qb=7Iuc7KeEIOyLreydtOyngA==&amp;enc=utf8</x:v>
      </x:c>
      <x:c r="O1005" s="116" t="str">
        <x:v>https://m.blog.naver.com/sntu2010/221217519231</x:v>
      </x:c>
      <x:c r="P1005" s="112" t="str">
        <x:v>아니오</x:v>
      </x:c>
      <x:c r="Q1005" s="113" t="str">
        <x:v>자동 분류·표본 검토 대상</x:v>
      </x:c>
    </x:row>
    <x:row r="1006">
      <x:c r="A1006" s="100" t="n">
        <x:v>1005</x:v>
      </x:c>
      <x:c r="B1006" s="101" t="n">
        <x:v>43157</x:v>
      </x:c>
      <x:c r="C1006" s="102" t="n">
        <x:v>2018</x:v>
      </x:c>
      <x:c r="D1006" s="103" t="str">
        <x:v>ID-221217518577</x:v>
      </x:c>
      <x:c r="E1006" s="112" t="str">
        <x:v>[펌]무협 사전 - 무공이름을 쭉 나열해봤습니다.</x:v>
      </x:c>
      <x:c r="F1006" s="112" t="str">
        <x:v>창작소재</x:v>
      </x:c>
      <x:c r="G1006" s="112" t="str">
        <x:v>공통 창작소재</x:v>
      </x:c>
      <x:c r="H1006" s="112" t="str">
        <x:v>작법·상업성</x:v>
      </x:c>
      <x:c r="I1006" s="112" t="n">
        <x:v>1</x:v>
      </x:c>
      <x:c r="J1006" s="112" t="str">
        <x:v>소재</x:v>
      </x:c>
      <x:c r="K1006" s="112" t="str">
        <x:v>재게시</x:v>
      </x:c>
      <x:c r="L1006" s="112" t="str">
        <x:v>높음</x:v>
      </x:c>
      <x:c r="M1006" s="112" t="str">
        <x:v>제목의 펌/퍼옴 표시</x:v>
      </x:c>
      <x:c r="N1006" s="116" t="str"/>
      <x:c r="O1006" s="116" t="str">
        <x:v>https://m.blog.naver.com/sntu2010/221217518577</x:v>
      </x:c>
      <x:c r="P1006" s="112" t="str">
        <x:v>아니오</x:v>
      </x:c>
      <x:c r="Q1006" s="113" t="str">
        <x:v>자동 분류·표본 검토 대상</x:v>
      </x:c>
    </x:row>
    <x:row r="1007">
      <x:c r="A1007" s="100" t="n">
        <x:v>1006</x:v>
      </x:c>
      <x:c r="B1007" s="101" t="n">
        <x:v>43157</x:v>
      </x:c>
      <x:c r="C1007" s="102" t="n">
        <x:v>2018</x:v>
      </x:c>
      <x:c r="D1007" s="103" t="str">
        <x:v>ID-221217518315</x:v>
      </x:c>
      <x:c r="E1007" s="112" t="str">
        <x:v>[펌]무협 사전 - 무공의 경지를 나열해봤습니다.</x:v>
      </x:c>
      <x:c r="F1007" s="112" t="str">
        <x:v>창작소재</x:v>
      </x:c>
      <x:c r="G1007" s="112" t="str">
        <x:v>공통 창작소재</x:v>
      </x:c>
      <x:c r="H1007" s="112" t="str">
        <x:v>캐릭터·전개</x:v>
      </x:c>
      <x:c r="I1007" s="112" t="n">
        <x:v>2</x:v>
      </x:c>
      <x:c r="J1007" s="112" t="str">
        <x:v>관계, 주인공</x:v>
      </x:c>
      <x:c r="K1007" s="112" t="str">
        <x:v>재게시</x:v>
      </x:c>
      <x:c r="L1007" s="112" t="str">
        <x:v>높음</x:v>
      </x:c>
      <x:c r="M1007" s="112" t="str">
        <x:v>제목의 펌/퍼옴 표시</x:v>
      </x:c>
      <x:c r="N1007" s="116" t="str"/>
      <x:c r="O1007" s="116" t="str">
        <x:v>https://m.blog.naver.com/sntu2010/221217518315</x:v>
      </x:c>
      <x:c r="P1007" s="112" t="str">
        <x:v>아니오</x:v>
      </x:c>
      <x:c r="Q1007" s="113" t="str">
        <x:v>자동 분류·표본 검토 대상</x:v>
      </x:c>
    </x:row>
    <x:row r="1008">
      <x:c r="A1008" s="100" t="n">
        <x:v>1007</x:v>
      </x:c>
      <x:c r="B1008" s="101" t="n">
        <x:v>43157</x:v>
      </x:c>
      <x:c r="C1008" s="102" t="n">
        <x:v>2018</x:v>
      </x:c>
      <x:c r="D1008" s="103" t="str">
        <x:v>ID-221217517935</x:v>
      </x:c>
      <x:c r="E1008" s="112" t="str">
        <x:v>[펌]무협 사전 - 각나라의 영수 영물 전설속 민화속 동물이나 존재</x:v>
      </x:c>
      <x:c r="F1008" s="112" t="str">
        <x:v>창작소재</x:v>
      </x:c>
      <x:c r="G1008" s="112" t="str">
        <x:v>공통 창작소재</x:v>
      </x:c>
      <x:c r="H1008" s="112" t="str">
        <x:v>작법·상업성</x:v>
      </x:c>
      <x:c r="I1008" s="112" t="n">
        <x:v>1</x:v>
      </x:c>
      <x:c r="J1008" s="112" t="str">
        <x:v>소재</x:v>
      </x:c>
      <x:c r="K1008" s="112" t="str">
        <x:v>재게시</x:v>
      </x:c>
      <x:c r="L1008" s="112" t="str">
        <x:v>높음</x:v>
      </x:c>
      <x:c r="M1008" s="112" t="str">
        <x:v>제목의 펌/퍼옴 표시</x:v>
      </x:c>
      <x:c r="N1008" s="116" t="str"/>
      <x:c r="O1008" s="116" t="str">
        <x:v>https://m.blog.naver.com/sntu2010/221217517935</x:v>
      </x:c>
      <x:c r="P1008" s="112" t="str">
        <x:v>아니오</x:v>
      </x:c>
      <x:c r="Q1008" s="113" t="str">
        <x:v>자동 분류·표본 검토 대상</x:v>
      </x:c>
    </x:row>
    <x:row r="1009">
      <x:c r="A1009" s="100" t="n">
        <x:v>1008</x:v>
      </x:c>
      <x:c r="B1009" s="101" t="n">
        <x:v>43157</x:v>
      </x:c>
      <x:c r="C1009" s="102" t="n">
        <x:v>2018</x:v>
      </x:c>
      <x:c r="D1009" s="103" t="str">
        <x:v>ID-221217517682</x:v>
      </x:c>
      <x:c r="E1009" s="112" t="str">
        <x:v>[펌]무협 사전 - 중국 각 성의 유래2</x:v>
      </x:c>
      <x:c r="F1009" s="112" t="str">
        <x:v>창작소재</x:v>
      </x:c>
      <x:c r="G1009" s="112" t="str">
        <x:v>공통 창작소재</x:v>
      </x:c>
      <x:c r="H1009" s="112" t="str">
        <x:v>작법·상업성</x:v>
      </x:c>
      <x:c r="I1009" s="112" t="n">
        <x:v>1</x:v>
      </x:c>
      <x:c r="J1009" s="112" t="str">
        <x:v>소재</x:v>
      </x:c>
      <x:c r="K1009" s="112" t="str">
        <x:v>재게시</x:v>
      </x:c>
      <x:c r="L1009" s="112" t="str">
        <x:v>높음</x:v>
      </x:c>
      <x:c r="M1009" s="112" t="str">
        <x:v>제목의 펌/퍼옴 표시</x:v>
      </x:c>
      <x:c r="N1009" s="116" t="str"/>
      <x:c r="O1009" s="116" t="str">
        <x:v>https://m.blog.naver.com/sntu2010/221217517682</x:v>
      </x:c>
      <x:c r="P1009" s="112" t="str">
        <x:v>아니오</x:v>
      </x:c>
      <x:c r="Q1009" s="113" t="str">
        <x:v>자동 분류·표본 검토 대상</x:v>
      </x:c>
    </x:row>
    <x:row r="1010">
      <x:c r="A1010" s="100" t="n">
        <x:v>1009</x:v>
      </x:c>
      <x:c r="B1010" s="101" t="n">
        <x:v>43157</x:v>
      </x:c>
      <x:c r="C1010" s="102" t="n">
        <x:v>2018</x:v>
      </x:c>
      <x:c r="D1010" s="103" t="str">
        <x:v>ID-221217516085</x:v>
      </x:c>
      <x:c r="E1010" s="112" t="str">
        <x:v>[펌]무협 사전 - 무협 문파별 위치 지도</x:v>
      </x:c>
      <x:c r="F1010" s="112" t="str">
        <x:v>창작소재</x:v>
      </x:c>
      <x:c r="G1010" s="112" t="str">
        <x:v>공통 창작소재</x:v>
      </x:c>
      <x:c r="H1010" s="112" t="str">
        <x:v>작법·상업성</x:v>
      </x:c>
      <x:c r="I1010" s="112" t="n">
        <x:v>1</x:v>
      </x:c>
      <x:c r="J1010" s="112" t="str">
        <x:v>소재</x:v>
      </x:c>
      <x:c r="K1010" s="112" t="str">
        <x:v>재게시</x:v>
      </x:c>
      <x:c r="L1010" s="112" t="str">
        <x:v>높음</x:v>
      </x:c>
      <x:c r="M1010" s="112" t="str">
        <x:v>제목의 펌/퍼옴 표시</x:v>
      </x:c>
      <x:c r="N1010" s="116" t="str">
        <x:v>http://square.munpia.com/boPds_1/page/1/beSrl/680402</x:v>
      </x:c>
      <x:c r="O1010" s="116" t="str">
        <x:v>https://m.blog.naver.com/sntu2010/221217516085</x:v>
      </x:c>
      <x:c r="P1010" s="112" t="str">
        <x:v>아니오</x:v>
      </x:c>
      <x:c r="Q1010" s="113" t="str">
        <x:v>자동 분류·표본 검토 대상</x:v>
      </x:c>
    </x:row>
    <x:row r="1011">
      <x:c r="A1011" s="100" t="n">
        <x:v>1010</x:v>
      </x:c>
      <x:c r="B1011" s="101" t="n">
        <x:v>43157</x:v>
      </x:c>
      <x:c r="C1011" s="102" t="n">
        <x:v>2018</x:v>
      </x:c>
      <x:c r="D1011" s="103" t="str">
        <x:v>ID-221217342344</x:v>
      </x:c>
      <x:c r="E1011" s="112" t="str">
        <x:v>[펌]무협 사전 - 무협소설 무공 용어 설명</x:v>
      </x:c>
      <x:c r="F1011" s="112" t="str">
        <x:v>창작소재</x:v>
      </x:c>
      <x:c r="G1011" s="112" t="str">
        <x:v>공통 창작소재</x:v>
      </x:c>
      <x:c r="H1011" s="112" t="str">
        <x:v>수익·운영</x:v>
      </x:c>
      <x:c r="I1011" s="112" t="n">
        <x:v>1</x:v>
      </x:c>
      <x:c r="J1011" s="112" t="str">
        <x:v>마감</x:v>
      </x:c>
      <x:c r="K1011" s="112" t="str">
        <x:v>재게시</x:v>
      </x:c>
      <x:c r="L1011" s="112" t="str">
        <x:v>높음</x:v>
      </x:c>
      <x:c r="M1011" s="112" t="str">
        <x:v>제목의 펌/퍼옴 표시</x:v>
      </x:c>
      <x:c r="N1011" s="116" t="str"/>
      <x:c r="O1011" s="116" t="str">
        <x:v>https://m.blog.naver.com/sntu2010/221217342344</x:v>
      </x:c>
      <x:c r="P1011" s="112" t="str">
        <x:v>아니오</x:v>
      </x:c>
      <x:c r="Q1011" s="113" t="str">
        <x:v>자동 분류·표본 검토 대상</x:v>
      </x:c>
    </x:row>
    <x:row r="1012">
      <x:c r="A1012" s="100" t="n">
        <x:v>1011</x:v>
      </x:c>
      <x:c r="B1012" s="101" t="n">
        <x:v>43154</x:v>
      </x:c>
      <x:c r="C1012" s="102" t="n">
        <x:v>2018</x:v>
      </x:c>
      <x:c r="D1012" s="103" t="str">
        <x:v>ID-221214831021</x:v>
      </x:c>
      <x:c r="E1012" s="112" t="str">
        <x:v>[공유] 색 조합이 어렵다면 꼭 알아두어야 할 사이트 모음.jpg</x:v>
      </x:c>
      <x:c r="F1012" s="112" t="str">
        <x:v>웹툰작법</x:v>
      </x:c>
      <x:c r="G1012" s="112" t="str">
        <x:v>웹툰 참고</x:v>
      </x:c>
      <x:c r="H1012" s="112" t="str">
        <x:v>작법·상업성</x:v>
      </x:c>
      <x:c r="I1012" s="112" t="n">
        <x:v>1</x:v>
      </x:c>
      <x:c r="J1012" s="112" t="str">
        <x:v>작법</x:v>
      </x:c>
      <x:c r="K1012" s="112" t="str">
        <x:v>본인 작성/의견 추정</x:v>
      </x:c>
      <x:c r="L1012" s="112" t="str">
        <x:v>낮음</x:v>
      </x:c>
      <x:c r="M1012" s="112" t="str">
        <x:v>재게시 표시는 없으나 저자성 직접 증거 부족</x:v>
      </x:c>
      <x:c r="N1012" s="116" t="str"/>
      <x:c r="O1012" s="116" t="str">
        <x:v>https://m.blog.naver.com/sntu2010/221214831021</x:v>
      </x:c>
      <x:c r="P1012" s="112" t="str">
        <x:v>아니오</x:v>
      </x:c>
      <x:c r="Q1012" s="113" t="str">
        <x:v>수동 검토 필요</x:v>
      </x:c>
    </x:row>
    <x:row r="1013">
      <x:c r="A1013" s="100" t="n">
        <x:v>1012</x:v>
      </x:c>
      <x:c r="B1013" s="101" t="n">
        <x:v>43154</x:v>
      </x:c>
      <x:c r="C1013" s="102" t="n">
        <x:v>2018</x:v>
      </x:c>
      <x:c r="D1013" s="103" t="str">
        <x:v>ID-221214829865</x:v>
      </x:c>
      <x:c r="E1013" s="112" t="str">
        <x:v>[공유] 그림을 그리고 싶은데, 헤어스타일이 고민이다 싶을 때는.jpg</x:v>
      </x:c>
      <x:c r="F1013" s="112" t="str">
        <x:v>웹툰작법</x:v>
      </x:c>
      <x:c r="G1013" s="112" t="str">
        <x:v>웹툰 참고</x:v>
      </x:c>
      <x:c r="H1013" s="112" t="str">
        <x:v>작법·상업성</x:v>
      </x:c>
      <x:c r="I1013" s="112" t="n">
        <x:v>1</x:v>
      </x:c>
      <x:c r="J1013" s="112" t="str">
        <x:v>작법</x:v>
      </x:c>
      <x:c r="K1013" s="112" t="str">
        <x:v>본인 작성/의견 추정</x:v>
      </x:c>
      <x:c r="L1013" s="112" t="str">
        <x:v>낮음</x:v>
      </x:c>
      <x:c r="M1013" s="112" t="str">
        <x:v>재게시 표시는 없으나 저자성 직접 증거 부족</x:v>
      </x:c>
      <x:c r="N1013" s="116" t="str"/>
      <x:c r="O1013" s="116" t="str">
        <x:v>https://m.blog.naver.com/sntu2010/221214829865</x:v>
      </x:c>
      <x:c r="P1013" s="112" t="str">
        <x:v>아니오</x:v>
      </x:c>
      <x:c r="Q1013" s="113" t="str">
        <x:v>수동 검토 필요</x:v>
      </x:c>
    </x:row>
    <x:row r="1014">
      <x:c r="A1014" s="100" t="n">
        <x:v>1013</x:v>
      </x:c>
      <x:c r="B1014" s="101" t="n">
        <x:v>43151</x:v>
      </x:c>
      <x:c r="C1014" s="102" t="n">
        <x:v>2018</x:v>
      </x:c>
      <x:c r="D1014" s="103" t="str">
        <x:v>ID-221212400107</x:v>
      </x:c>
      <x:c r="E1014" s="112" t="str">
        <x:v>[펌]토가시 요시히로가 설명하는 스토리 구성법</x:v>
      </x:c>
      <x:c r="F1014" s="112" t="str">
        <x:v>웹툰작법</x:v>
      </x:c>
      <x:c r="G1014" s="112" t="str">
        <x:v>웹툰 참고</x:v>
      </x:c>
      <x:c r="H1014" s="112" t="str">
        <x:v>작법·상업성</x:v>
      </x:c>
      <x:c r="I1014" s="112" t="n">
        <x:v>2</x:v>
      </x:c>
      <x:c r="J1014" s="112" t="str">
        <x:v>문장, 작법</x:v>
      </x:c>
      <x:c r="K1014" s="112" t="str">
        <x:v>재게시</x:v>
      </x:c>
      <x:c r="L1014" s="112" t="str">
        <x:v>높음</x:v>
      </x:c>
      <x:c r="M1014" s="112" t="str">
        <x:v>제목의 펌/퍼옴 표시</x:v>
      </x:c>
      <x:c r="N1014" s="116" t="str"/>
      <x:c r="O1014" s="116" t="str">
        <x:v>https://m.blog.naver.com/sntu2010/221212400107</x:v>
      </x:c>
      <x:c r="P1014" s="112" t="str">
        <x:v>아니오</x:v>
      </x:c>
      <x:c r="Q1014" s="113" t="str">
        <x:v>자동 분류·표본 검토 대상</x:v>
      </x:c>
    </x:row>
    <x:row r="1015">
      <x:c r="A1015" s="100" t="n">
        <x:v>1014</x:v>
      </x:c>
      <x:c r="B1015" s="101" t="n">
        <x:v>43151</x:v>
      </x:c>
      <x:c r="C1015" s="102" t="n">
        <x:v>2018</x:v>
      </x:c>
      <x:c r="D1015" s="103" t="str">
        <x:v>ID-221212389652</x:v>
      </x:c>
      <x:c r="E1015" s="112" t="str">
        <x:v>[공유?] 미야자키 하야오 감독의 창작법</x:v>
      </x:c>
      <x:c r="F1015" s="112" t="str">
        <x:v>웹툰작법</x:v>
      </x:c>
      <x:c r="G1015" s="112" t="str">
        <x:v>웹툰 참고</x:v>
      </x:c>
      <x:c r="H1015" s="112" t="str">
        <x:v>작법·상업성</x:v>
      </x:c>
      <x:c r="I1015" s="112" t="n">
        <x:v>21</x:v>
      </x:c>
      <x:c r="J1015" s="112" t="str">
        <x:v>작법</x:v>
      </x:c>
      <x:c r="K1015" s="112" t="str">
        <x:v>본인 작성/의견 추정</x:v>
      </x:c>
      <x:c r="L1015" s="112" t="str">
        <x:v>낮음</x:v>
      </x:c>
      <x:c r="M1015" s="112" t="str">
        <x:v>재게시 표시는 없으나 저자성 직접 증거 부족</x:v>
      </x:c>
      <x:c r="N1015" s="116" t="str"/>
      <x:c r="O1015" s="116" t="str">
        <x:v>https://m.blog.naver.com/sntu2010/221212389652</x:v>
      </x:c>
      <x:c r="P1015" s="112" t="str">
        <x:v>아니오</x:v>
      </x:c>
      <x:c r="Q1015" s="113" t="str">
        <x:v>자동 분류·표본 검토 대상</x:v>
      </x:c>
    </x:row>
    <x:row r="1016">
      <x:c r="A1016" s="100" t="n">
        <x:v>1015</x:v>
      </x:c>
      <x:c r="B1016" s="101" t="n">
        <x:v>43151</x:v>
      </x:c>
      <x:c r="C1016" s="102" t="n">
        <x:v>2018</x:v>
      </x:c>
      <x:c r="D1016" s="103" t="str">
        <x:v>ID-221212388976</x:v>
      </x:c>
      <x:c r="E1016" s="112" t="str">
        <x:v>[공유] 일본만화에 대한 냉정한 이야기.</x:v>
      </x:c>
      <x:c r="F1016" s="112" t="str">
        <x:v>웹툰작법</x:v>
      </x:c>
      <x:c r="G1016" s="112" t="str">
        <x:v>웹툰 참고</x:v>
      </x:c>
      <x:c r="H1016" s="112" t="str">
        <x:v>작법·상업성</x:v>
      </x:c>
      <x:c r="I1016" s="112" t="n">
        <x:v>1</x:v>
      </x:c>
      <x:c r="J1016" s="112" t="str">
        <x:v>작법</x:v>
      </x:c>
      <x:c r="K1016" s="112" t="str">
        <x:v>본인 작성/의견 추정</x:v>
      </x:c>
      <x:c r="L1016" s="112" t="str">
        <x:v>낮음</x:v>
      </x:c>
      <x:c r="M1016" s="112" t="str">
        <x:v>재게시 표시는 없으나 저자성 직접 증거 부족</x:v>
      </x:c>
      <x:c r="N1016" s="116" t="str"/>
      <x:c r="O1016" s="116" t="str">
        <x:v>https://m.blog.naver.com/sntu2010/221212388976</x:v>
      </x:c>
      <x:c r="P1016" s="112" t="str">
        <x:v>아니오</x:v>
      </x:c>
      <x:c r="Q1016" s="113" t="str">
        <x:v>수동 검토 필요</x:v>
      </x:c>
    </x:row>
    <x:row r="1017">
      <x:c r="A1017" s="100" t="n">
        <x:v>1016</x:v>
      </x:c>
      <x:c r="B1017" s="101" t="n">
        <x:v>43151</x:v>
      </x:c>
      <x:c r="C1017" s="102" t="n">
        <x:v>2018</x:v>
      </x:c>
      <x:c r="D1017" s="103" t="str">
        <x:v>ID-221212388606</x:v>
      </x:c>
      <x:c r="E1017" s="112" t="str">
        <x:v>[공유] 일본 만화계 문을 두들기는 분들을 위한 참고했으면 하는 것들</x:v>
      </x:c>
      <x:c r="F1017" s="112" t="str">
        <x:v>웹툰작법</x:v>
      </x:c>
      <x:c r="G1017" s="112" t="str">
        <x:v>웹툰 참고</x:v>
      </x:c>
      <x:c r="H1017" s="112" t="str">
        <x:v>작법·상업성</x:v>
      </x:c>
      <x:c r="I1017" s="112" t="n">
        <x:v>1</x:v>
      </x:c>
      <x:c r="J1017" s="112" t="str">
        <x:v>작법</x:v>
      </x:c>
      <x:c r="K1017" s="112" t="str">
        <x:v>본인 작성/의견 추정</x:v>
      </x:c>
      <x:c r="L1017" s="112" t="str">
        <x:v>낮음</x:v>
      </x:c>
      <x:c r="M1017" s="112" t="str">
        <x:v>재게시 표시는 없으나 저자성 직접 증거 부족</x:v>
      </x:c>
      <x:c r="N1017" s="116" t="str"/>
      <x:c r="O1017" s="116" t="str">
        <x:v>https://m.blog.naver.com/sntu2010/221212388606</x:v>
      </x:c>
      <x:c r="P1017" s="112" t="str">
        <x:v>아니오</x:v>
      </x:c>
      <x:c r="Q1017" s="113" t="str">
        <x:v>수동 검토 필요</x:v>
      </x:c>
    </x:row>
    <x:row r="1018">
      <x:c r="A1018" s="100" t="n">
        <x:v>1017</x:v>
      </x:c>
      <x:c r="B1018" s="101" t="n">
        <x:v>43151</x:v>
      </x:c>
      <x:c r="C1018" s="102" t="n">
        <x:v>2018</x:v>
      </x:c>
      <x:c r="D1018" s="103" t="str">
        <x:v>ID-221212363994</x:v>
      </x:c>
      <x:c r="E1018" s="112" t="str">
        <x:v>[공유] 인체사진, 여자몸연성 ,여자 인체(몸)잘그리는법,여자 인체.몸 잘그리기 ,여자인체구도</x:v>
      </x:c>
      <x:c r="F1018" s="112" t="str">
        <x:v>웹툰작법</x:v>
      </x:c>
      <x:c r="G1018" s="112" t="str">
        <x:v>웹툰 참고</x:v>
      </x:c>
      <x:c r="H1018" s="112" t="str">
        <x:v>작법·상업성</x:v>
      </x:c>
      <x:c r="I1018" s="112" t="n">
        <x:v>1</x:v>
      </x:c>
      <x:c r="J1018" s="112" t="str">
        <x:v>작법</x:v>
      </x:c>
      <x:c r="K1018" s="112" t="str">
        <x:v>본인 작성/의견 추정</x:v>
      </x:c>
      <x:c r="L1018" s="112" t="str">
        <x:v>낮음</x:v>
      </x:c>
      <x:c r="M1018" s="112" t="str">
        <x:v>재게시 표시는 없으나 저자성 직접 증거 부족</x:v>
      </x:c>
      <x:c r="N1018" s="116" t="str"/>
      <x:c r="O1018" s="116" t="str">
        <x:v>https://m.blog.naver.com/sntu2010/221212363994</x:v>
      </x:c>
      <x:c r="P1018" s="112" t="str">
        <x:v>아니오</x:v>
      </x:c>
      <x:c r="Q1018" s="113" t="str">
        <x:v>수동 검토 필요</x:v>
      </x:c>
    </x:row>
    <x:row r="1019">
      <x:c r="A1019" s="100" t="n">
        <x:v>1018</x:v>
      </x:c>
      <x:c r="B1019" s="101" t="n">
        <x:v>43151</x:v>
      </x:c>
      <x:c r="C1019" s="102" t="n">
        <x:v>2018</x:v>
      </x:c>
      <x:c r="D1019" s="103" t="str">
        <x:v>ID-221212360092</x:v>
      </x:c>
      <x:c r="E1019" s="112" t="str">
        <x:v>[펌]그림 그리는데 유용한 사이트3 [사진 사이트 편]</x:v>
      </x:c>
      <x:c r="F1019" s="112" t="str">
        <x:v>웹툰작법</x:v>
      </x:c>
      <x:c r="G1019" s="112" t="str">
        <x:v>웹툰 참고</x:v>
      </x:c>
      <x:c r="H1019" s="112" t="str">
        <x:v>작법·상업성</x:v>
      </x:c>
      <x:c r="I1019" s="112" t="n">
        <x:v>4</x:v>
      </x:c>
      <x:c r="J1019" s="112" t="str">
        <x:v>묘사, 작법</x:v>
      </x:c>
      <x:c r="K1019" s="112" t="str">
        <x:v>재게시</x:v>
      </x:c>
      <x:c r="L1019" s="112" t="str">
        <x:v>높음</x:v>
      </x:c>
      <x:c r="M1019" s="112" t="str">
        <x:v>제목의 펌/퍼옴 표시</x:v>
      </x:c>
      <x:c r="N1019" s="116" t="str">
        <x:v>http://all-free-download.com/free-vector/page/9/</x:v>
      </x:c>
      <x:c r="O1019" s="116" t="str">
        <x:v>https://m.blog.naver.com/sntu2010/221212360092</x:v>
      </x:c>
      <x:c r="P1019" s="112" t="str">
        <x:v>아니오</x:v>
      </x:c>
      <x:c r="Q1019" s="113" t="str">
        <x:v>자동 분류·표본 검토 대상</x:v>
      </x:c>
    </x:row>
    <x:row r="1020">
      <x:c r="A1020" s="100" t="n">
        <x:v>1019</x:v>
      </x:c>
      <x:c r="B1020" s="101" t="n">
        <x:v>43151</x:v>
      </x:c>
      <x:c r="C1020" s="102" t="n">
        <x:v>2018</x:v>
      </x:c>
      <x:c r="D1020" s="103" t="str">
        <x:v>ID-221212358739</x:v>
      </x:c>
      <x:c r="E1020" s="112" t="str">
        <x:v>[공유] [Information] 그림그릴때 도움되는 사이트 모음</x:v>
      </x:c>
      <x:c r="F1020" s="112" t="str">
        <x:v>웹툰작법</x:v>
      </x:c>
      <x:c r="G1020" s="112" t="str">
        <x:v>웹툰 참고</x:v>
      </x:c>
      <x:c r="H1020" s="112" t="str">
        <x:v>작법·상업성</x:v>
      </x:c>
      <x:c r="I1020" s="112" t="n">
        <x:v>1</x:v>
      </x:c>
      <x:c r="J1020" s="112" t="str">
        <x:v>작법</x:v>
      </x:c>
      <x:c r="K1020" s="112" t="str">
        <x:v>본인 작성/의견 추정</x:v>
      </x:c>
      <x:c r="L1020" s="112" t="str">
        <x:v>낮음</x:v>
      </x:c>
      <x:c r="M1020" s="112" t="str">
        <x:v>재게시 표시는 없으나 저자성 직접 증거 부족</x:v>
      </x:c>
      <x:c r="N1020" s="116" t="str"/>
      <x:c r="O1020" s="116" t="str">
        <x:v>https://m.blog.naver.com/sntu2010/221212358739</x:v>
      </x:c>
      <x:c r="P1020" s="112" t="str">
        <x:v>아니오</x:v>
      </x:c>
      <x:c r="Q1020" s="113" t="str">
        <x:v>수동 검토 필요</x:v>
      </x:c>
    </x:row>
    <x:row r="1021">
      <x:c r="A1021" s="100" t="n">
        <x:v>1020</x:v>
      </x:c>
      <x:c r="B1021" s="101" t="n">
        <x:v>43151</x:v>
      </x:c>
      <x:c r="C1021" s="102" t="n">
        <x:v>2018</x:v>
      </x:c>
      <x:c r="D1021" s="103" t="str">
        <x:v>ID-221212358450</x:v>
      </x:c>
      <x:c r="E1021" s="112" t="str">
        <x:v>[공유] 포토샵 무료 브러쉬</x:v>
      </x:c>
      <x:c r="F1021" s="112" t="str">
        <x:v>웹툰작법</x:v>
      </x:c>
      <x:c r="G1021" s="112" t="str">
        <x:v>웹툰 참고</x:v>
      </x:c>
      <x:c r="H1021" s="112" t="str">
        <x:v>작법·상업성</x:v>
      </x:c>
      <x:c r="I1021" s="112" t="n">
        <x:v>1</x:v>
      </x:c>
      <x:c r="J1021" s="112" t="str">
        <x:v>작법</x:v>
      </x:c>
      <x:c r="K1021" s="112" t="str">
        <x:v>본인 작성/의견 추정</x:v>
      </x:c>
      <x:c r="L1021" s="112" t="str">
        <x:v>낮음</x:v>
      </x:c>
      <x:c r="M1021" s="112" t="str">
        <x:v>재게시 표시는 없으나 저자성 직접 증거 부족</x:v>
      </x:c>
      <x:c r="N1021" s="116" t="str"/>
      <x:c r="O1021" s="116" t="str">
        <x:v>https://m.blog.naver.com/sntu2010/221212358450</x:v>
      </x:c>
      <x:c r="P1021" s="112" t="str">
        <x:v>아니오</x:v>
      </x:c>
      <x:c r="Q1021" s="113" t="str">
        <x:v>수동 검토 필요</x:v>
      </x:c>
    </x:row>
    <x:row r="1022">
      <x:c r="A1022" s="100" t="n">
        <x:v>1021</x:v>
      </x:c>
      <x:c r="B1022" s="101" t="n">
        <x:v>43151</x:v>
      </x:c>
      <x:c r="C1022" s="102" t="n">
        <x:v>2018</x:v>
      </x:c>
      <x:c r="D1022" s="103" t="str">
        <x:v>ID-221212357108</x:v>
      </x:c>
      <x:c r="E1022" s="112" t="str">
        <x:v>[공유] 포토샵 구름 브러쉬 31종 다운공유＃</x:v>
      </x:c>
      <x:c r="F1022" s="112" t="str">
        <x:v>웹툰작법</x:v>
      </x:c>
      <x:c r="G1022" s="112" t="str">
        <x:v>웹툰 참고</x:v>
      </x:c>
      <x:c r="H1022" s="112" t="str">
        <x:v>작법·상업성</x:v>
      </x:c>
      <x:c r="I1022" s="112" t="n">
        <x:v>1</x:v>
      </x:c>
      <x:c r="J1022" s="112" t="str">
        <x:v>작법</x:v>
      </x:c>
      <x:c r="K1022" s="112" t="str">
        <x:v>본인 작성/의견 추정</x:v>
      </x:c>
      <x:c r="L1022" s="112" t="str">
        <x:v>낮음</x:v>
      </x:c>
      <x:c r="M1022" s="112" t="str">
        <x:v>재게시 표시는 없으나 저자성 직접 증거 부족</x:v>
      </x:c>
      <x:c r="N1022" s="116" t="str"/>
      <x:c r="O1022" s="116" t="str">
        <x:v>https://m.blog.naver.com/sntu2010/221212357108</x:v>
      </x:c>
      <x:c r="P1022" s="112" t="str">
        <x:v>아니오</x:v>
      </x:c>
      <x:c r="Q1022" s="113" t="str">
        <x:v>수동 검토 필요</x:v>
      </x:c>
    </x:row>
    <x:row r="1023">
      <x:c r="A1023" s="100" t="n">
        <x:v>1022</x:v>
      </x:c>
      <x:c r="B1023" s="101" t="n">
        <x:v>43151</x:v>
      </x:c>
      <x:c r="C1023" s="102" t="n">
        <x:v>2018</x:v>
      </x:c>
      <x:c r="D1023" s="103" t="str">
        <x:v>ID-221212348087</x:v>
      </x:c>
      <x:c r="E1023" s="112" t="str">
        <x:v>[공유?] 그림작가구합니다</x:v>
      </x:c>
      <x:c r="F1023" s="112" t="str">
        <x:v>웹툰작법</x:v>
      </x:c>
      <x:c r="G1023" s="112" t="str">
        <x:v>웹툰 참고</x:v>
      </x:c>
      <x:c r="H1023" s="112" t="str">
        <x:v>작법·상업성</x:v>
      </x:c>
      <x:c r="I1023" s="112" t="n">
        <x:v>1</x:v>
      </x:c>
      <x:c r="J1023" s="112" t="str">
        <x:v>작법</x:v>
      </x:c>
      <x:c r="K1023" s="112" t="str">
        <x:v>본인 작성/의견 추정</x:v>
      </x:c>
      <x:c r="L1023" s="112" t="str">
        <x:v>낮음</x:v>
      </x:c>
      <x:c r="M1023" s="112" t="str">
        <x:v>재게시 표시는 없으나 저자성 직접 증거 부족</x:v>
      </x:c>
      <x:c r="N1023" s="116" t="str"/>
      <x:c r="O1023" s="116" t="str">
        <x:v>https://m.blog.naver.com/sntu2010/221212348087</x:v>
      </x:c>
      <x:c r="P1023" s="112" t="str">
        <x:v>아니오</x:v>
      </x:c>
      <x:c r="Q1023" s="113" t="str">
        <x:v>수동 검토 필요</x:v>
      </x:c>
    </x:row>
    <x:row r="1024">
      <x:c r="A1024" s="100" t="n">
        <x:v>1023</x:v>
      </x:c>
      <x:c r="B1024" s="101" t="n">
        <x:v>43151</x:v>
      </x:c>
      <x:c r="C1024" s="102" t="n">
        <x:v>2018</x:v>
      </x:c>
      <x:c r="D1024" s="103" t="str">
        <x:v>ID-221212345359</x:v>
      </x:c>
      <x:c r="E1024" s="112" t="str">
        <x:v>[공유] 그림쟁이에게 도움되는 포즈구도 모음</x:v>
      </x:c>
      <x:c r="F1024" s="112" t="str">
        <x:v>웹툰작법</x:v>
      </x:c>
      <x:c r="G1024" s="112" t="str">
        <x:v>웹툰 참고</x:v>
      </x:c>
      <x:c r="H1024" s="112" t="str">
        <x:v>작법·상업성</x:v>
      </x:c>
      <x:c r="I1024" s="112" t="n">
        <x:v>1</x:v>
      </x:c>
      <x:c r="J1024" s="112" t="str">
        <x:v>작법</x:v>
      </x:c>
      <x:c r="K1024" s="112" t="str">
        <x:v>본인 작성/의견 추정</x:v>
      </x:c>
      <x:c r="L1024" s="112" t="str">
        <x:v>낮음</x:v>
      </x:c>
      <x:c r="M1024" s="112" t="str">
        <x:v>재게시 표시는 없으나 저자성 직접 증거 부족</x:v>
      </x:c>
      <x:c r="N1024" s="116" t="str"/>
      <x:c r="O1024" s="116" t="str">
        <x:v>https://m.blog.naver.com/sntu2010/221212345359</x:v>
      </x:c>
      <x:c r="P1024" s="112" t="str">
        <x:v>아니오</x:v>
      </x:c>
      <x:c r="Q1024" s="113" t="str">
        <x:v>수동 검토 필요</x:v>
      </x:c>
    </x:row>
    <x:row r="1025">
      <x:c r="A1025" s="100" t="n">
        <x:v>1024</x:v>
      </x:c>
      <x:c r="B1025" s="101" t="n">
        <x:v>43151</x:v>
      </x:c>
      <x:c r="C1025" s="102" t="n">
        <x:v>2018</x:v>
      </x:c>
      <x:c r="D1025" s="103" t="str">
        <x:v>ID-221212335109</x:v>
      </x:c>
      <x:c r="E1025" s="112" t="str">
        <x:v>[공유] 웹툰 연재 계약시 주요 검토 사항</x:v>
      </x:c>
      <x:c r="F1025" s="112" t="str">
        <x:v>웹툰작법</x:v>
      </x:c>
      <x:c r="G1025" s="112" t="str">
        <x:v>웹툰 참고</x:v>
      </x:c>
      <x:c r="H1025" s="112" t="str">
        <x:v>플랫폼·투고·계약</x:v>
      </x:c>
      <x:c r="I1025" s="112" t="n">
        <x:v>20</x:v>
      </x:c>
      <x:c r="J1025" s="112" t="str">
        <x:v>계약</x:v>
      </x:c>
      <x:c r="K1025" s="112" t="str">
        <x:v>본인 작성/의견 추정</x:v>
      </x:c>
      <x:c r="L1025" s="112" t="str">
        <x:v>낮음</x:v>
      </x:c>
      <x:c r="M1025" s="112" t="str">
        <x:v>재게시 표시는 없으나 저자성 직접 증거 부족</x:v>
      </x:c>
      <x:c r="N1025" s="116" t="str"/>
      <x:c r="O1025" s="116" t="str">
        <x:v>https://m.blog.naver.com/sntu2010/221212335109</x:v>
      </x:c>
      <x:c r="P1025" s="112" t="str">
        <x:v>아니오</x:v>
      </x:c>
      <x:c r="Q1025" s="113" t="str">
        <x:v>자동 분류·표본 검토 대상</x:v>
      </x:c>
    </x:row>
    <x:row r="1026">
      <x:c r="A1026" s="100" t="n">
        <x:v>1025</x:v>
      </x:c>
      <x:c r="B1026" s="101" t="n">
        <x:v>43151</x:v>
      </x:c>
      <x:c r="C1026" s="102" t="n">
        <x:v>2018</x:v>
      </x:c>
      <x:c r="D1026" s="103" t="str">
        <x:v>ID-221212334892</x:v>
      </x:c>
      <x:c r="E1026" s="112" t="str">
        <x:v>[공유] 웹툰 계약시 발생하는 권리와 쟁점사항</x:v>
      </x:c>
      <x:c r="F1026" s="112" t="str">
        <x:v>웹툰작법</x:v>
      </x:c>
      <x:c r="G1026" s="112" t="str">
        <x:v>웹툰 참고</x:v>
      </x:c>
      <x:c r="H1026" s="112" t="str">
        <x:v>플랫폼·투고·계약</x:v>
      </x:c>
      <x:c r="I1026" s="112" t="n">
        <x:v>20</x:v>
      </x:c>
      <x:c r="J1026" s="112" t="str">
        <x:v>계약</x:v>
      </x:c>
      <x:c r="K1026" s="112" t="str">
        <x:v>본인 작성/의견 추정</x:v>
      </x:c>
      <x:c r="L1026" s="112" t="str">
        <x:v>낮음</x:v>
      </x:c>
      <x:c r="M1026" s="112" t="str">
        <x:v>재게시 표시는 없으나 저자성 직접 증거 부족</x:v>
      </x:c>
      <x:c r="N1026" s="116" t="str"/>
      <x:c r="O1026" s="116" t="str">
        <x:v>https://m.blog.naver.com/sntu2010/221212334892</x:v>
      </x:c>
      <x:c r="P1026" s="112" t="str">
        <x:v>아니오</x:v>
      </x:c>
      <x:c r="Q1026" s="113" t="str">
        <x:v>자동 분류·표본 검토 대상</x:v>
      </x:c>
    </x:row>
    <x:row r="1027">
      <x:c r="A1027" s="100" t="n">
        <x:v>1026</x:v>
      </x:c>
      <x:c r="B1027" s="101" t="n">
        <x:v>43151</x:v>
      </x:c>
      <x:c r="C1027" s="102" t="n">
        <x:v>2018</x:v>
      </x:c>
      <x:c r="D1027" s="103" t="str">
        <x:v>ID-221212334436</x:v>
      </x:c>
      <x:c r="E1027" s="112" t="str">
        <x:v>[공유] 웹툰 작가가 되었다. 돈을 번다. 세금은?</x:v>
      </x:c>
      <x:c r="F1027" s="112" t="str">
        <x:v>웹툰작법</x:v>
      </x:c>
      <x:c r="G1027" s="112" t="str">
        <x:v>웹툰 참고</x:v>
      </x:c>
      <x:c r="H1027" s="112" t="str">
        <x:v>수익·운영</x:v>
      </x:c>
      <x:c r="I1027" s="112" t="n">
        <x:v>21</x:v>
      </x:c>
      <x:c r="J1027" s="112" t="str">
        <x:v>세금</x:v>
      </x:c>
      <x:c r="K1027" s="112" t="str">
        <x:v>본인 작성/의견 추정</x:v>
      </x:c>
      <x:c r="L1027" s="112" t="str">
        <x:v>낮음</x:v>
      </x:c>
      <x:c r="M1027" s="112" t="str">
        <x:v>재게시 표시는 없으나 저자성 직접 증거 부족</x:v>
      </x:c>
      <x:c r="N1027" s="116" t="str"/>
      <x:c r="O1027" s="116" t="str">
        <x:v>https://m.blog.naver.com/sntu2010/221212334436</x:v>
      </x:c>
      <x:c r="P1027" s="112" t="str">
        <x:v>아니오</x:v>
      </x:c>
      <x:c r="Q1027" s="113" t="str">
        <x:v>자동 분류·표본 검토 대상</x:v>
      </x:c>
    </x:row>
    <x:row r="1028">
      <x:c r="A1028" s="100" t="n">
        <x:v>1027</x:v>
      </x:c>
      <x:c r="B1028" s="101" t="n">
        <x:v>43150</x:v>
      </x:c>
      <x:c r="C1028" s="102" t="n">
        <x:v>2018</x:v>
      </x:c>
      <x:c r="D1028" s="103" t="str">
        <x:v>ID-221212015482</x:v>
      </x:c>
      <x:c r="E1028" s="112" t="str">
        <x:v>[펌] 콘티를 창작하는 큰 흐름</x:v>
      </x:c>
      <x:c r="F1028" s="112" t="str">
        <x:v>웹툰작법</x:v>
      </x:c>
      <x:c r="G1028" s="112" t="str">
        <x:v>웹툰 참고</x:v>
      </x:c>
      <x:c r="H1028" s="112" t="str">
        <x:v>작법·상업성</x:v>
      </x:c>
      <x:c r="I1028" s="112" t="n">
        <x:v>1</x:v>
      </x:c>
      <x:c r="J1028" s="112" t="str">
        <x:v>작법</x:v>
      </x:c>
      <x:c r="K1028" s="112" t="str">
        <x:v>재게시</x:v>
      </x:c>
      <x:c r="L1028" s="112" t="str">
        <x:v>높음</x:v>
      </x:c>
      <x:c r="M1028" s="112" t="str">
        <x:v>제목의 펌/퍼옴 표시</x:v>
      </x:c>
      <x:c r="N1028" s="116" t="str">
        <x:v>http://cafe.naver.com/growsh</x:v>
      </x:c>
      <x:c r="O1028" s="116" t="str">
        <x:v>https://m.blog.naver.com/sntu2010/221212015482</x:v>
      </x:c>
      <x:c r="P1028" s="112" t="str">
        <x:v>아니오</x:v>
      </x:c>
      <x:c r="Q1028" s="113" t="str">
        <x:v>자동 분류·표본 검토 대상</x:v>
      </x:c>
    </x:row>
    <x:row r="1029">
      <x:c r="A1029" s="100" t="n">
        <x:v>1028</x:v>
      </x:c>
      <x:c r="B1029" s="101" t="n">
        <x:v>43150</x:v>
      </x:c>
      <x:c r="C1029" s="102" t="n">
        <x:v>2018</x:v>
      </x:c>
      <x:c r="D1029" s="103" t="str">
        <x:v>ID-221211615001</x:v>
      </x:c>
      <x:c r="E1029" s="112" t="str">
        <x:v>[펌] 그림 잘 그리는 법 - 1 (기초편)</x:v>
      </x:c>
      <x:c r="F1029" s="112" t="str">
        <x:v>웹툰작법</x:v>
      </x:c>
      <x:c r="G1029" s="112" t="str">
        <x:v>웹툰 참고</x:v>
      </x:c>
      <x:c r="H1029" s="112" t="str">
        <x:v>작법·상업성</x:v>
      </x:c>
      <x:c r="I1029" s="112" t="n">
        <x:v>1</x:v>
      </x:c>
      <x:c r="J1029" s="112" t="str">
        <x:v>작법</x:v>
      </x:c>
      <x:c r="K1029" s="112" t="str">
        <x:v>재게시</x:v>
      </x:c>
      <x:c r="L1029" s="112" t="str">
        <x:v>높음</x:v>
      </x:c>
      <x:c r="M1029" s="112" t="str">
        <x:v>제목의 펌/퍼옴 표시</x:v>
      </x:c>
      <x:c r="N1029" s="116" t="str"/>
      <x:c r="O1029" s="116" t="str">
        <x:v>https://m.blog.naver.com/sntu2010/221211615001</x:v>
      </x:c>
      <x:c r="P1029" s="112" t="str">
        <x:v>아니오</x:v>
      </x:c>
      <x:c r="Q1029" s="113" t="str">
        <x:v>자동 분류·표본 검토 대상</x:v>
      </x:c>
    </x:row>
    <x:row r="1030">
      <x:c r="A1030" s="100" t="n">
        <x:v>1029</x:v>
      </x:c>
      <x:c r="B1030" s="101" t="n">
        <x:v>43150</x:v>
      </x:c>
      <x:c r="C1030" s="102" t="n">
        <x:v>2018</x:v>
      </x:c>
      <x:c r="D1030" s="103" t="str">
        <x:v>ID-221211574713</x:v>
      </x:c>
      <x:c r="E1030" s="112" t="str">
        <x:v>[펌] 에구치 히사시 선생님이 알려주는 그림 연습법</x:v>
      </x:c>
      <x:c r="F1030" s="112" t="str">
        <x:v>웹툰작법</x:v>
      </x:c>
      <x:c r="G1030" s="112" t="str">
        <x:v>웹툰 참고</x:v>
      </x:c>
      <x:c r="H1030" s="112" t="str">
        <x:v>캐릭터·전개</x:v>
      </x:c>
      <x:c r="I1030" s="112" t="n">
        <x:v>1</x:v>
      </x:c>
      <x:c r="J1030" s="112" t="str">
        <x:v>캐릭터</x:v>
      </x:c>
      <x:c r="K1030" s="112" t="str">
        <x:v>재게시</x:v>
      </x:c>
      <x:c r="L1030" s="112" t="str">
        <x:v>높음</x:v>
      </x:c>
      <x:c r="M1030" s="112" t="str">
        <x:v>제목의 펌/퍼옴 표시</x:v>
      </x:c>
      <x:c r="N1030" s="116" t="str">
        <x:v>http://oekakigakusyuu.blog97.fc2.com/blog-entry-709.html</x:v>
      </x:c>
      <x:c r="O1030" s="116" t="str">
        <x:v>https://m.blog.naver.com/sntu2010/221211574713</x:v>
      </x:c>
      <x:c r="P1030" s="112" t="str">
        <x:v>아니오</x:v>
      </x:c>
      <x:c r="Q1030" s="113" t="str">
        <x:v>자동 분류·표본 검토 대상</x:v>
      </x:c>
    </x:row>
    <x:row r="1031">
      <x:c r="A1031" s="100" t="n">
        <x:v>1030</x:v>
      </x:c>
      <x:c r="B1031" s="101" t="n">
        <x:v>43144</x:v>
      </x:c>
      <x:c r="C1031" s="102" t="n">
        <x:v>2018</x:v>
      </x:c>
      <x:c r="D1031" s="103" t="str">
        <x:v>ID-221207842721</x:v>
      </x:c>
      <x:c r="E1031" s="112" t="str">
        <x:v>[펌] 이시동도법과 만화연출</x:v>
      </x:c>
      <x:c r="F1031" s="112" t="str">
        <x:v>웹툰작법</x:v>
      </x:c>
      <x:c r="G1031" s="112" t="str">
        <x:v>웹툰 참고</x:v>
      </x:c>
      <x:c r="H1031" s="112" t="str">
        <x:v>캐릭터·전개</x:v>
      </x:c>
      <x:c r="I1031" s="112" t="n">
        <x:v>2</x:v>
      </x:c>
      <x:c r="J1031" s="112" t="str">
        <x:v>인물, 시점</x:v>
      </x:c>
      <x:c r="K1031" s="112" t="str">
        <x:v>재게시</x:v>
      </x:c>
      <x:c r="L1031" s="112" t="str">
        <x:v>높음</x:v>
      </x:c>
      <x:c r="M1031" s="112" t="str">
        <x:v>제목의 펌/퍼옴 표시</x:v>
      </x:c>
      <x:c r="N1031" s="116" t="str"/>
      <x:c r="O1031" s="116" t="str">
        <x:v>https://m.blog.naver.com/sntu2010/221207842721</x:v>
      </x:c>
      <x:c r="P1031" s="112" t="str">
        <x:v>아니오</x:v>
      </x:c>
      <x:c r="Q1031" s="113" t="str">
        <x:v>자동 분류·표본 검토 대상</x:v>
      </x:c>
    </x:row>
    <x:row r="1032">
      <x:c r="A1032" s="100" t="n">
        <x:v>1031</x:v>
      </x:c>
      <x:c r="B1032" s="101" t="n">
        <x:v>43144</x:v>
      </x:c>
      <x:c r="C1032" s="102" t="n">
        <x:v>2018</x:v>
      </x:c>
      <x:c r="D1032" s="103" t="str">
        <x:v>ID-221207841663</x:v>
      </x:c>
      <x:c r="E1032" s="112" t="str">
        <x:v>[공유] 만화 연출 일본과 한국 비교</x:v>
      </x:c>
      <x:c r="F1032" s="112" t="str">
        <x:v>웹툰작법</x:v>
      </x:c>
      <x:c r="G1032" s="112" t="str">
        <x:v>웹툰 참고</x:v>
      </x:c>
      <x:c r="H1032" s="112" t="str">
        <x:v>작법·상업성</x:v>
      </x:c>
      <x:c r="I1032" s="112" t="n">
        <x:v>1</x:v>
      </x:c>
      <x:c r="J1032" s="112" t="str">
        <x:v>작법</x:v>
      </x:c>
      <x:c r="K1032" s="112" t="str">
        <x:v>본인 작성/의견 추정</x:v>
      </x:c>
      <x:c r="L1032" s="112" t="str">
        <x:v>낮음</x:v>
      </x:c>
      <x:c r="M1032" s="112" t="str">
        <x:v>재게시 표시는 없으나 저자성 직접 증거 부족</x:v>
      </x:c>
      <x:c r="N1032" s="116" t="str"/>
      <x:c r="O1032" s="116" t="str">
        <x:v>https://m.blog.naver.com/sntu2010/221207841663</x:v>
      </x:c>
      <x:c r="P1032" s="112" t="str">
        <x:v>아니오</x:v>
      </x:c>
      <x:c r="Q1032" s="113" t="str">
        <x:v>수동 검토 필요</x:v>
      </x:c>
    </x:row>
    <x:row r="1033">
      <x:c r="A1033" s="100" t="n">
        <x:v>1032</x:v>
      </x:c>
      <x:c r="B1033" s="101" t="n">
        <x:v>43144</x:v>
      </x:c>
      <x:c r="C1033" s="102" t="n">
        <x:v>2018</x:v>
      </x:c>
      <x:c r="D1033" s="103" t="str">
        <x:v>ID-221207839984</x:v>
      </x:c>
      <x:c r="E1033" s="112" t="str">
        <x:v>[공유] 판타지 만화, 그 혼란의 용광로</x:v>
      </x:c>
      <x:c r="F1033" s="112" t="str">
        <x:v>웹툰작법</x:v>
      </x:c>
      <x:c r="G1033" s="112" t="str">
        <x:v>웹툰 참고</x:v>
      </x:c>
      <x:c r="H1033" s="112" t="str">
        <x:v>작법·상업성</x:v>
      </x:c>
      <x:c r="I1033" s="112" t="n">
        <x:v>1</x:v>
      </x:c>
      <x:c r="J1033" s="112" t="str">
        <x:v>작법</x:v>
      </x:c>
      <x:c r="K1033" s="112" t="str">
        <x:v>본인 작성/의견 추정</x:v>
      </x:c>
      <x:c r="L1033" s="112" t="str">
        <x:v>낮음</x:v>
      </x:c>
      <x:c r="M1033" s="112" t="str">
        <x:v>재게시 표시는 없으나 저자성 직접 증거 부족</x:v>
      </x:c>
      <x:c r="N1033" s="116" t="str"/>
      <x:c r="O1033" s="116" t="str">
        <x:v>https://m.blog.naver.com/sntu2010/221207839984</x:v>
      </x:c>
      <x:c r="P1033" s="112" t="str">
        <x:v>아니오</x:v>
      </x:c>
      <x:c r="Q1033" s="113" t="str">
        <x:v>수동 검토 필요</x:v>
      </x:c>
    </x:row>
    <x:row r="1034">
      <x:c r="A1034" s="100" t="n">
        <x:v>1033</x:v>
      </x:c>
      <x:c r="B1034" s="101" t="n">
        <x:v>43144</x:v>
      </x:c>
      <x:c r="C1034" s="102" t="n">
        <x:v>2018</x:v>
      </x:c>
      <x:c r="D1034" s="103" t="str">
        <x:v>ID-221207839649</x:v>
      </x:c>
      <x:c r="E1034" s="112" t="str">
        <x:v>[공유] 웹툰 연재 계약시 주요 검토 사항</x:v>
      </x:c>
      <x:c r="F1034" s="112" t="str">
        <x:v>웹툰작법</x:v>
      </x:c>
      <x:c r="G1034" s="112" t="str">
        <x:v>웹툰 참고</x:v>
      </x:c>
      <x:c r="H1034" s="112" t="str">
        <x:v>플랫폼·투고·계약</x:v>
      </x:c>
      <x:c r="I1034" s="112" t="n">
        <x:v>20</x:v>
      </x:c>
      <x:c r="J1034" s="112" t="str">
        <x:v>계약</x:v>
      </x:c>
      <x:c r="K1034" s="112" t="str">
        <x:v>본인 작성/의견 추정</x:v>
      </x:c>
      <x:c r="L1034" s="112" t="str">
        <x:v>낮음</x:v>
      </x:c>
      <x:c r="M1034" s="112" t="str">
        <x:v>재게시 표시는 없으나 저자성 직접 증거 부족</x:v>
      </x:c>
      <x:c r="N1034" s="116" t="str"/>
      <x:c r="O1034" s="116" t="str">
        <x:v>https://m.blog.naver.com/sntu2010/221207839649</x:v>
      </x:c>
      <x:c r="P1034" s="112" t="str">
        <x:v>아니오</x:v>
      </x:c>
      <x:c r="Q1034" s="113" t="str">
        <x:v>자동 분류·표본 검토 대상</x:v>
      </x:c>
    </x:row>
    <x:row r="1035">
      <x:c r="A1035" s="100" t="n">
        <x:v>1034</x:v>
      </x:c>
      <x:c r="B1035" s="101" t="n">
        <x:v>43144</x:v>
      </x:c>
      <x:c r="C1035" s="102" t="n">
        <x:v>2018</x:v>
      </x:c>
      <x:c r="D1035" s="103" t="str">
        <x:v>ID-221207839505</x:v>
      </x:c>
      <x:c r="E1035" s="112" t="str">
        <x:v>[공유] 사진을 보고 그리면 표절인가요?</x:v>
      </x:c>
      <x:c r="F1035" s="112" t="str">
        <x:v>웹툰작법</x:v>
      </x:c>
      <x:c r="G1035" s="112" t="str">
        <x:v>웹툰 참고</x:v>
      </x:c>
      <x:c r="H1035" s="112" t="str">
        <x:v>작법·상업성</x:v>
      </x:c>
      <x:c r="I1035" s="112" t="n">
        <x:v>1</x:v>
      </x:c>
      <x:c r="J1035" s="112" t="str">
        <x:v>작법</x:v>
      </x:c>
      <x:c r="K1035" s="112" t="str">
        <x:v>본인 작성/의견 추정</x:v>
      </x:c>
      <x:c r="L1035" s="112" t="str">
        <x:v>낮음</x:v>
      </x:c>
      <x:c r="M1035" s="112" t="str">
        <x:v>재게시 표시는 없으나 저자성 직접 증거 부족</x:v>
      </x:c>
      <x:c r="N1035" s="116" t="str"/>
      <x:c r="O1035" s="116" t="str">
        <x:v>https://m.blog.naver.com/sntu2010/221207839505</x:v>
      </x:c>
      <x:c r="P1035" s="112" t="str">
        <x:v>아니오</x:v>
      </x:c>
      <x:c r="Q1035" s="113" t="str">
        <x:v>수동 검토 필요</x:v>
      </x:c>
    </x:row>
    <x:row r="1036">
      <x:c r="A1036" s="100" t="n">
        <x:v>1035</x:v>
      </x:c>
      <x:c r="B1036" s="101" t="n">
        <x:v>43144</x:v>
      </x:c>
      <x:c r="C1036" s="102" t="n">
        <x:v>2018</x:v>
      </x:c>
      <x:c r="D1036" s="103" t="str">
        <x:v>ID-221207839265</x:v>
      </x:c>
      <x:c r="E1036" s="112" t="str">
        <x:v>[공유] [만화연출] 칸 위에 캐릭터 올리기(오버랩 연출 / 겹치기 연출)</x:v>
      </x:c>
      <x:c r="F1036" s="112" t="str">
        <x:v>웹툰작법</x:v>
      </x:c>
      <x:c r="G1036" s="112" t="str">
        <x:v>웹툰 참고</x:v>
      </x:c>
      <x:c r="H1036" s="112" t="str">
        <x:v>캐릭터·전개</x:v>
      </x:c>
      <x:c r="I1036" s="112" t="n">
        <x:v>20</x:v>
      </x:c>
      <x:c r="J1036" s="112" t="str">
        <x:v>캐릭터</x:v>
      </x:c>
      <x:c r="K1036" s="112" t="str">
        <x:v>본인 작성/의견 추정</x:v>
      </x:c>
      <x:c r="L1036" s="112" t="str">
        <x:v>낮음</x:v>
      </x:c>
      <x:c r="M1036" s="112" t="str">
        <x:v>재게시 표시는 없으나 저자성 직접 증거 부족</x:v>
      </x:c>
      <x:c r="N1036" s="116" t="str"/>
      <x:c r="O1036" s="116" t="str">
        <x:v>https://m.blog.naver.com/sntu2010/221207839265</x:v>
      </x:c>
      <x:c r="P1036" s="112" t="str">
        <x:v>아니오</x:v>
      </x:c>
      <x:c r="Q1036" s="113" t="str">
        <x:v>자동 분류·표본 검토 대상</x:v>
      </x:c>
    </x:row>
    <x:row r="1037">
      <x:c r="A1037" s="100" t="n">
        <x:v>1036</x:v>
      </x:c>
      <x:c r="B1037" s="101" t="n">
        <x:v>43144</x:v>
      </x:c>
      <x:c r="C1037" s="102" t="n">
        <x:v>2018</x:v>
      </x:c>
      <x:c r="D1037" s="103" t="str">
        <x:v>ID-221207838867</x:v>
      </x:c>
      <x:c r="E1037" s="112" t="str">
        <x:v>[펌] 야메 만화 연출 강의실 -1화-</x:v>
      </x:c>
      <x:c r="F1037" s="112" t="str">
        <x:v>웹툰작법</x:v>
      </x:c>
      <x:c r="G1037" s="112" t="str">
        <x:v>웹툰 참고</x:v>
      </x:c>
      <x:c r="H1037" s="112" t="str">
        <x:v>초반부/연독률</x:v>
      </x:c>
      <x:c r="I1037" s="112" t="n">
        <x:v>21</x:v>
      </x:c>
      <x:c r="J1037" s="112" t="str">
        <x:v>1화</x:v>
      </x:c>
      <x:c r="K1037" s="112" t="str">
        <x:v>재게시</x:v>
      </x:c>
      <x:c r="L1037" s="112" t="str">
        <x:v>높음</x:v>
      </x:c>
      <x:c r="M1037" s="112" t="str">
        <x:v>제목의 펌/퍼옴 표시</x:v>
      </x:c>
      <x:c r="N1037" s="116" t="str"/>
      <x:c r="O1037" s="116" t="str">
        <x:v>https://m.blog.naver.com/sntu2010/221207838867</x:v>
      </x:c>
      <x:c r="P1037" s="112" t="str">
        <x:v>아니오</x:v>
      </x:c>
      <x:c r="Q1037" s="113" t="str">
        <x:v>자동 분류·표본 검토 대상</x:v>
      </x:c>
    </x:row>
    <x:row r="1038">
      <x:c r="A1038" s="100" t="n">
        <x:v>1037</x:v>
      </x:c>
      <x:c r="B1038" s="101" t="n">
        <x:v>43144</x:v>
      </x:c>
      <x:c r="C1038" s="102" t="n">
        <x:v>2018</x:v>
      </x:c>
      <x:c r="D1038" s="103" t="str">
        <x:v>ID-221207836846</x:v>
      </x:c>
      <x:c r="E1038" s="112" t="str">
        <x:v>[공유] 만화연출</x:v>
      </x:c>
      <x:c r="F1038" s="112" t="str">
        <x:v>웹툰작법</x:v>
      </x:c>
      <x:c r="G1038" s="112" t="str">
        <x:v>웹툰 참고</x:v>
      </x:c>
      <x:c r="H1038" s="112" t="str">
        <x:v>작법·상업성</x:v>
      </x:c>
      <x:c r="I1038" s="112" t="n">
        <x:v>1</x:v>
      </x:c>
      <x:c r="J1038" s="112" t="str">
        <x:v>작법</x:v>
      </x:c>
      <x:c r="K1038" s="112" t="str">
        <x:v>본인 작성/의견 추정</x:v>
      </x:c>
      <x:c r="L1038" s="112" t="str">
        <x:v>낮음</x:v>
      </x:c>
      <x:c r="M1038" s="112" t="str">
        <x:v>재게시 표시는 없으나 저자성 직접 증거 부족</x:v>
      </x:c>
      <x:c r="N1038" s="116" t="str"/>
      <x:c r="O1038" s="116" t="str">
        <x:v>https://m.blog.naver.com/sntu2010/221207836846</x:v>
      </x:c>
      <x:c r="P1038" s="112" t="str">
        <x:v>아니오</x:v>
      </x:c>
      <x:c r="Q1038" s="113" t="str">
        <x:v>수동 검토 필요</x:v>
      </x:c>
    </x:row>
    <x:row r="1039">
      <x:c r="A1039" s="100" t="n">
        <x:v>1038</x:v>
      </x:c>
      <x:c r="B1039" s="101" t="n">
        <x:v>43140</x:v>
      </x:c>
      <x:c r="C1039" s="102" t="n">
        <x:v>2018</x:v>
      </x:c>
      <x:c r="D1039" s="103" t="str">
        <x:v>ID-221205171854</x:v>
      </x:c>
      <x:c r="E1039" s="112" t="str">
        <x:v>[공유] 웹툰 WEBTOON의 분량과 칸 편집에 대한 분석 | 을 표본으로</x:v>
      </x:c>
      <x:c r="F1039" s="112" t="str">
        <x:v>웹툰작법</x:v>
      </x:c>
      <x:c r="G1039" s="112" t="str">
        <x:v>웹툰 참고</x:v>
      </x:c>
      <x:c r="H1039" s="112" t="str">
        <x:v>작법·상업성</x:v>
      </x:c>
      <x:c r="I1039" s="112" t="n">
        <x:v>1</x:v>
      </x:c>
      <x:c r="J1039" s="112" t="str">
        <x:v>작법</x:v>
      </x:c>
      <x:c r="K1039" s="112" t="str">
        <x:v>본인 작성/의견 추정</x:v>
      </x:c>
      <x:c r="L1039" s="112" t="str">
        <x:v>낮음</x:v>
      </x:c>
      <x:c r="M1039" s="112" t="str">
        <x:v>재게시 표시는 없으나 저자성 직접 증거 부족</x:v>
      </x:c>
      <x:c r="N1039" s="116" t="str"/>
      <x:c r="O1039" s="116" t="str">
        <x:v>https://m.blog.naver.com/sntu2010/221205171854</x:v>
      </x:c>
      <x:c r="P1039" s="112" t="str">
        <x:v>아니오</x:v>
      </x:c>
      <x:c r="Q1039" s="113" t="str">
        <x:v>수동 검토 필요</x:v>
      </x:c>
    </x:row>
    <x:row r="1040">
      <x:c r="A1040" s="100" t="n">
        <x:v>1039</x:v>
      </x:c>
      <x:c r="B1040" s="101" t="n">
        <x:v>43140</x:v>
      </x:c>
      <x:c r="C1040" s="102" t="n">
        <x:v>2018</x:v>
      </x:c>
      <x:c r="D1040" s="103" t="str">
        <x:v>ID-221204990425</x:v>
      </x:c>
      <x:c r="E1040" s="112" t="str">
        <x:v>[펌] 그림체의 분류</x:v>
      </x:c>
      <x:c r="F1040" s="112" t="str">
        <x:v>웹툰작법</x:v>
      </x:c>
      <x:c r="G1040" s="112" t="str">
        <x:v>웹툰 참고</x:v>
      </x:c>
      <x:c r="H1040" s="112" t="str">
        <x:v>작법·상업성</x:v>
      </x:c>
      <x:c r="I1040" s="112" t="n">
        <x:v>2</x:v>
      </x:c>
      <x:c r="J1040" s="112" t="str">
        <x:v>상업, 작법</x:v>
      </x:c>
      <x:c r="K1040" s="112" t="str">
        <x:v>재게시</x:v>
      </x:c>
      <x:c r="L1040" s="112" t="str">
        <x:v>높음</x:v>
      </x:c>
      <x:c r="M1040" s="112" t="str">
        <x:v>제목의 펌/퍼옴 표시</x:v>
      </x:c>
      <x:c r="N1040" s="116" t="str"/>
      <x:c r="O1040" s="116" t="str">
        <x:v>https://m.blog.naver.com/sntu2010/221204990425</x:v>
      </x:c>
      <x:c r="P1040" s="112" t="str">
        <x:v>아니오</x:v>
      </x:c>
      <x:c r="Q1040" s="113" t="str">
        <x:v>자동 분류·표본 검토 대상</x:v>
      </x:c>
    </x:row>
    <x:row r="1041">
      <x:c r="A1041" s="100" t="n">
        <x:v>1040</x:v>
      </x:c>
      <x:c r="B1041" s="101" t="n">
        <x:v>43140</x:v>
      </x:c>
      <x:c r="C1041" s="102" t="n">
        <x:v>2018</x:v>
      </x:c>
      <x:c r="D1041" s="103" t="str">
        <x:v>ID-221204910093</x:v>
      </x:c>
      <x:c r="E1041" s="112" t="str">
        <x:v>[펌] 드래곤볼의 획기적인 컷(프레임) 연출</x:v>
      </x:c>
      <x:c r="F1041" s="112" t="str">
        <x:v>웹툰작법</x:v>
      </x:c>
      <x:c r="G1041" s="112" t="str">
        <x:v>웹툰 참고</x:v>
      </x:c>
      <x:c r="H1041" s="112" t="str">
        <x:v>작법·상업성</x:v>
      </x:c>
      <x:c r="I1041" s="112" t="n">
        <x:v>8</x:v>
      </x:c>
      <x:c r="J1041" s="112" t="str">
        <x:v>재미, 클리셰, 설정, 독자, 작법</x:v>
      </x:c>
      <x:c r="K1041" s="112" t="str">
        <x:v>재게시</x:v>
      </x:c>
      <x:c r="L1041" s="112" t="str">
        <x:v>높음</x:v>
      </x:c>
      <x:c r="M1041" s="112" t="str">
        <x:v>제목의 펌/퍼옴 표시</x:v>
      </x:c>
      <x:c r="N1041" s="116" t="str">
        <x:v>http://nikaidorenji.blogspot.kr/2014/03/blog-post.html</x:v>
      </x:c>
      <x:c r="O1041" s="116" t="str">
        <x:v>https://m.blog.naver.com/sntu2010/221204910093</x:v>
      </x:c>
      <x:c r="P1041" s="112" t="str">
        <x:v>아니오</x:v>
      </x:c>
      <x:c r="Q1041" s="113" t="str">
        <x:v>자동 분류·표본 검토 대상</x:v>
      </x:c>
    </x:row>
    <x:row r="1042">
      <x:c r="A1042" s="100" t="n">
        <x:v>1041</x:v>
      </x:c>
      <x:c r="B1042" s="101" t="n">
        <x:v>43139</x:v>
      </x:c>
      <x:c r="C1042" s="102" t="n">
        <x:v>2018</x:v>
      </x:c>
      <x:c r="D1042" s="103" t="str">
        <x:v>ID-221204631745</x:v>
      </x:c>
      <x:c r="E1042" s="112" t="str">
        <x:v>[펌]레진 4컷용사 고질라군 작가님의 그림 강좌</x:v>
      </x:c>
      <x:c r="F1042" s="112" t="str">
        <x:v>웹툰작법</x:v>
      </x:c>
      <x:c r="G1042" s="112" t="str">
        <x:v>웹툰 참고</x:v>
      </x:c>
      <x:c r="H1042" s="112" t="str">
        <x:v>작법·상업성</x:v>
      </x:c>
      <x:c r="I1042" s="112" t="n">
        <x:v>1</x:v>
      </x:c>
      <x:c r="J1042" s="112" t="str">
        <x:v>작법</x:v>
      </x:c>
      <x:c r="K1042" s="112" t="str">
        <x:v>재게시</x:v>
      </x:c>
      <x:c r="L1042" s="112" t="str">
        <x:v>높음</x:v>
      </x:c>
      <x:c r="M1042" s="112" t="str">
        <x:v>제목의 펌/퍼옴 표시</x:v>
      </x:c>
      <x:c r="N1042" s="116" t="str">
        <x:v>http://gaia.ruliweb.com/gaia/do/ruliweb/family/219/read?articleId=3945975&amp;objCate1=&amp;bbsId=G005&amp;searchKey=daumname&amp;itemGroupId=&amp;itemId=66&amp;sortKey=depth&amp;searchValue=고질라군&amp;platformId=&amp;pageIndex=4</x:v>
      </x:c>
      <x:c r="O1042" s="116" t="str">
        <x:v>https://m.blog.naver.com/sntu2010/221204631745</x:v>
      </x:c>
      <x:c r="P1042" s="112" t="str">
        <x:v>아니오</x:v>
      </x:c>
      <x:c r="Q1042" s="113" t="str">
        <x:v>자동 분류·표본 검토 대상</x:v>
      </x:c>
    </x:row>
    <x:row r="1043">
      <x:c r="A1043" s="100" t="n">
        <x:v>1042</x:v>
      </x:c>
      <x:c r="B1043" s="101" t="n">
        <x:v>43130</x:v>
      </x:c>
      <x:c r="C1043" s="102" t="n">
        <x:v>2018</x:v>
      </x:c>
      <x:c r="D1043" s="103" t="str">
        <x:v>ID-221197198717</x:v>
      </x:c>
      <x:c r="E1043" s="112" t="str">
        <x:v>[펌]이현세 만화가님의 이야기</x:v>
      </x:c>
      <x:c r="F1043" s="112" t="str">
        <x:v>웹툰작법</x:v>
      </x:c>
      <x:c r="G1043" s="112" t="str">
        <x:v>웹툰 참고</x:v>
      </x:c>
      <x:c r="H1043" s="112" t="str">
        <x:v>작법·상업성</x:v>
      </x:c>
      <x:c r="I1043" s="112" t="n">
        <x:v>1</x:v>
      </x:c>
      <x:c r="J1043" s="112" t="str">
        <x:v>작법</x:v>
      </x:c>
      <x:c r="K1043" s="112" t="str">
        <x:v>재게시</x:v>
      </x:c>
      <x:c r="L1043" s="112" t="str">
        <x:v>높음</x:v>
      </x:c>
      <x:c r="M1043" s="112" t="str">
        <x:v>제목의 펌/퍼옴 표시</x:v>
      </x:c>
      <x:c r="N1043" s="116" t="str">
        <x:v>http://www.skynote.info/index.php?pl=21</x:v>
      </x:c>
      <x:c r="O1043" s="116" t="str">
        <x:v>https://m.blog.naver.com/sntu2010/221197198717</x:v>
      </x:c>
      <x:c r="P1043" s="112" t="str">
        <x:v>아니오</x:v>
      </x:c>
      <x:c r="Q1043" s="113" t="str">
        <x:v>자동 분류·표본 검토 대상</x:v>
      </x:c>
    </x:row>
    <x:row r="1044">
      <x:c r="A1044" s="100" t="n">
        <x:v>1043</x:v>
      </x:c>
      <x:c r="B1044" s="101" t="n">
        <x:v>43130</x:v>
      </x:c>
      <x:c r="C1044" s="102" t="n">
        <x:v>2018</x:v>
      </x:c>
      <x:c r="D1044" s="103" t="str">
        <x:v>ID-221197192885</x:v>
      </x:c>
      <x:c r="E1044" s="112" t="str">
        <x:v>[펌] 플롯의 여덟가지 원칙</x:v>
      </x:c>
      <x:c r="F1044" s="112" t="str">
        <x:v>웹툰작법</x:v>
      </x:c>
      <x:c r="G1044" s="112" t="str">
        <x:v>웹툰 참고</x:v>
      </x:c>
      <x:c r="H1044" s="112" t="str">
        <x:v>캐릭터·전개</x:v>
      </x:c>
      <x:c r="I1044" s="112" t="n">
        <x:v>28</x:v>
      </x:c>
      <x:c r="J1044" s="112" t="str">
        <x:v>플롯, 갈등</x:v>
      </x:c>
      <x:c r="K1044" s="112" t="str">
        <x:v>재게시</x:v>
      </x:c>
      <x:c r="L1044" s="112" t="str">
        <x:v>높음</x:v>
      </x:c>
      <x:c r="M1044" s="112" t="str">
        <x:v>제목의 펌/퍼옴 표시</x:v>
      </x:c>
      <x:c r="N1044" s="116" t="str">
        <x:v>http://cw.x-y.net/sayblog/index.php?pl=29</x:v>
      </x:c>
      <x:c r="O1044" s="116" t="str">
        <x:v>https://m.blog.naver.com/sntu2010/221197192885</x:v>
      </x:c>
      <x:c r="P1044" s="112" t="str">
        <x:v>아니오</x:v>
      </x:c>
      <x:c r="Q1044" s="113" t="str">
        <x:v>자동 분류·표본 검토 대상</x:v>
      </x:c>
    </x:row>
    <x:row r="1045">
      <x:c r="A1045" s="100" t="n">
        <x:v>1044</x:v>
      </x:c>
      <x:c r="B1045" s="101" t="n">
        <x:v>43120</x:v>
      </x:c>
      <x:c r="C1045" s="102" t="n">
        <x:v>2018</x:v>
      </x:c>
      <x:c r="D1045" s="103" t="str">
        <x:v>ID-221189580442</x:v>
      </x:c>
      <x:c r="E1045" s="112" t="str">
        <x:v>[펌]단계별 그림실력 올리는 방법</x:v>
      </x:c>
      <x:c r="F1045" s="112" t="str">
        <x:v>웹툰작법</x:v>
      </x:c>
      <x:c r="G1045" s="112" t="str">
        <x:v>웹툰 참고</x:v>
      </x:c>
      <x:c r="H1045" s="112" t="str">
        <x:v>작법·상업성</x:v>
      </x:c>
      <x:c r="I1045" s="112" t="n">
        <x:v>1</x:v>
      </x:c>
      <x:c r="J1045" s="112" t="str">
        <x:v>작법</x:v>
      </x:c>
      <x:c r="K1045" s="112" t="str">
        <x:v>재게시</x:v>
      </x:c>
      <x:c r="L1045" s="112" t="str">
        <x:v>높음</x:v>
      </x:c>
      <x:c r="M1045" s="112" t="str">
        <x:v>제목의 펌/퍼옴 표시</x:v>
      </x:c>
      <x:c r="N1045" s="116" t="str"/>
      <x:c r="O1045" s="116" t="str">
        <x:v>https://m.blog.naver.com/sntu2010/221189580442</x:v>
      </x:c>
      <x:c r="P1045" s="112" t="str">
        <x:v>아니오</x:v>
      </x:c>
      <x:c r="Q1045" s="113" t="str">
        <x:v>자동 분류·표본 검토 대상</x:v>
      </x:c>
    </x:row>
    <x:row r="1046">
      <x:c r="A1046" s="100" t="n">
        <x:v>1045</x:v>
      </x:c>
      <x:c r="B1046" s="101" t="n">
        <x:v>43117</x:v>
      </x:c>
      <x:c r="C1046" s="102" t="n">
        <x:v>2018</x:v>
      </x:c>
      <x:c r="D1046" s="103" t="str">
        <x:v>ID-221187209613</x:v>
      </x:c>
      <x:c r="E1046" s="112" t="str">
        <x:v>[펌]스토리 구상 및 연출</x:v>
      </x:c>
      <x:c r="F1046" s="112" t="str">
        <x:v>웹툰작법</x:v>
      </x:c>
      <x:c r="G1046" s="112" t="str">
        <x:v>웹툰 참고</x:v>
      </x:c>
      <x:c r="H1046" s="112" t="str">
        <x:v>캐릭터·전개</x:v>
      </x:c>
      <x:c r="I1046" s="112" t="n">
        <x:v>1</x:v>
      </x:c>
      <x:c r="J1046" s="112" t="str">
        <x:v>캐릭터</x:v>
      </x:c>
      <x:c r="K1046" s="112" t="str">
        <x:v>재게시</x:v>
      </x:c>
      <x:c r="L1046" s="112" t="str">
        <x:v>높음</x:v>
      </x:c>
      <x:c r="M1046" s="112" t="str">
        <x:v>제목의 펌/퍼옴 표시</x:v>
      </x:c>
      <x:c r="N1046" s="116" t="str">
        <x:v>http://cafe.naver.com/growsh.cafe?iframe_url=/CafeMemberNetworkView.nhn%3Fm=view%26memberid=qkrrlgh7575</x:v>
      </x:c>
      <x:c r="O1046" s="116" t="str">
        <x:v>https://m.blog.naver.com/sntu2010/221187209613</x:v>
      </x:c>
      <x:c r="P1046" s="112" t="str">
        <x:v>아니오</x:v>
      </x:c>
      <x:c r="Q1046" s="113" t="str">
        <x:v>자동 분류·표본 검토 대상</x:v>
      </x:c>
    </x:row>
    <x:row r="1047">
      <x:c r="A1047" s="100" t="n">
        <x:v>1046</x:v>
      </x:c>
      <x:c r="B1047" s="101" t="n">
        <x:v>43112</x:v>
      </x:c>
      <x:c r="C1047" s="102" t="n">
        <x:v>2018</x:v>
      </x:c>
      <x:c r="D1047" s="103" t="str">
        <x:v>ID-221183436606</x:v>
      </x:c>
      <x:c r="E1047" s="112" t="str">
        <x:v>등장인물 설정 잡기</x:v>
      </x:c>
      <x:c r="F1047" s="112" t="str">
        <x:v>웹툰생각</x:v>
      </x:c>
      <x:c r="G1047" s="112" t="str">
        <x:v>웹툰 참고</x:v>
      </x:c>
      <x:c r="H1047" s="112" t="str">
        <x:v>캐릭터·전개</x:v>
      </x:c>
      <x:c r="I1047" s="112" t="n">
        <x:v>26</x:v>
      </x:c>
      <x:c r="J1047" s="112" t="str">
        <x:v>인물, 캐릭터, 관계, 갈등</x:v>
      </x:c>
      <x:c r="K1047" s="112" t="str">
        <x:v>본인 작성/의견 추정</x:v>
      </x:c>
      <x:c r="L1047" s="112" t="str">
        <x:v>낮음</x:v>
      </x:c>
      <x:c r="M1047" s="112" t="str">
        <x:v>재게시 표시는 없으나 저자성 직접 증거 부족</x:v>
      </x:c>
      <x:c r="N1047" s="116" t="str"/>
      <x:c r="O1047" s="116" t="str">
        <x:v>https://m.blog.naver.com/sntu2010/221183436606</x:v>
      </x:c>
      <x:c r="P1047" s="112" t="str">
        <x:v>아니오</x:v>
      </x:c>
      <x:c r="Q1047" s="113" t="str">
        <x:v>자동 분류·표본 검토 대상</x:v>
      </x:c>
    </x:row>
    <x:row r="1048">
      <x:c r="A1048" s="100" t="n">
        <x:v>1047</x:v>
      </x:c>
      <x:c r="B1048" s="101" t="n">
        <x:v>43109</x:v>
      </x:c>
      <x:c r="C1048" s="102" t="n">
        <x:v>2018</x:v>
      </x:c>
      <x:c r="D1048" s="103" t="str">
        <x:v>ID-221181441244</x:v>
      </x:c>
      <x:c r="E1048" s="112" t="str">
        <x:v>[펌]캐릭터의 죽음을 더 슬프게 만드는 방법</x:v>
      </x:c>
      <x:c r="F1048" s="112" t="str">
        <x:v>웹툰작법</x:v>
      </x:c>
      <x:c r="G1048" s="112" t="str">
        <x:v>웹툰 참고</x:v>
      </x:c>
      <x:c r="H1048" s="112" t="str">
        <x:v>캐릭터·전개</x:v>
      </x:c>
      <x:c r="I1048" s="112" t="n">
        <x:v>20</x:v>
      </x:c>
      <x:c r="J1048" s="112" t="str">
        <x:v>캐릭터</x:v>
      </x:c>
      <x:c r="K1048" s="112" t="str">
        <x:v>재게시</x:v>
      </x:c>
      <x:c r="L1048" s="112" t="str">
        <x:v>높음</x:v>
      </x:c>
      <x:c r="M1048" s="112" t="str">
        <x:v>제목의 펌/퍼옴 표시</x:v>
      </x:c>
      <x:c r="N1048" s="116" t="str"/>
      <x:c r="O1048" s="116" t="str">
        <x:v>https://m.blog.naver.com/sntu2010/221181441244</x:v>
      </x:c>
      <x:c r="P1048" s="112" t="str">
        <x:v>아니오</x:v>
      </x:c>
      <x:c r="Q1048" s="113" t="str">
        <x:v>자동 분류·표본 검토 대상</x:v>
      </x:c>
    </x:row>
    <x:row r="1049">
      <x:c r="A1049" s="100" t="n">
        <x:v>1048</x:v>
      </x:c>
      <x:c r="B1049" s="101" t="n">
        <x:v>43109</x:v>
      </x:c>
      <x:c r="C1049" s="102" t="n">
        <x:v>2018</x:v>
      </x:c>
      <x:c r="D1049" s="103" t="str">
        <x:v>ID-221181212305</x:v>
      </x:c>
      <x:c r="E1049" s="112" t="str">
        <x:v>캐릭터의 중요성</x:v>
      </x:c>
      <x:c r="F1049" s="112" t="str">
        <x:v>웹툰생각</x:v>
      </x:c>
      <x:c r="G1049" s="112" t="str">
        <x:v>웹툰 참고</x:v>
      </x:c>
      <x:c r="H1049" s="112" t="str">
        <x:v>캐릭터·전개</x:v>
      </x:c>
      <x:c r="I1049" s="112" t="n">
        <x:v>28</x:v>
      </x:c>
      <x:c r="J1049" s="112" t="str">
        <x:v>캐릭터, 주인공</x:v>
      </x:c>
      <x:c r="K1049" s="112" t="str">
        <x:v>본인 작성/의견 추정</x:v>
      </x:c>
      <x:c r="L1049" s="112" t="str">
        <x:v>낮음</x:v>
      </x:c>
      <x:c r="M1049" s="112" t="str">
        <x:v>재게시 표시는 없으나 저자성 직접 증거 부족</x:v>
      </x:c>
      <x:c r="N1049" s="116" t="str"/>
      <x:c r="O1049" s="116" t="str">
        <x:v>https://m.blog.naver.com/sntu2010/221181212305</x:v>
      </x:c>
      <x:c r="P1049" s="112" t="str">
        <x:v>아니오</x:v>
      </x:c>
      <x:c r="Q1049" s="113" t="str">
        <x:v>자동 분류·표본 검토 대상</x:v>
      </x:c>
    </x:row>
    <x:row r="1050">
      <x:c r="A1050" s="100" t="n">
        <x:v>1049</x:v>
      </x:c>
      <x:c r="B1050" s="101" t="n">
        <x:v>43109</x:v>
      </x:c>
      <x:c r="C1050" s="102" t="n">
        <x:v>2018</x:v>
      </x:c>
      <x:c r="D1050" s="103" t="str">
        <x:v>ID-221181209763</x:v>
      </x:c>
      <x:c r="E1050" s="112" t="str">
        <x:v>네이버 웹툰에 대한 분석</x:v>
      </x:c>
      <x:c r="F1050" s="112" t="str">
        <x:v>웹툰생각</x:v>
      </x:c>
      <x:c r="G1050" s="112" t="str">
        <x:v>웹툰 참고</x:v>
      </x:c>
      <x:c r="H1050" s="112" t="str">
        <x:v>플랫폼·투고·계약</x:v>
      </x:c>
      <x:c r="I1050" s="112" t="n">
        <x:v>23</x:v>
      </x:c>
      <x:c r="J1050" s="112" t="str">
        <x:v>네이버</x:v>
      </x:c>
      <x:c r="K1050" s="112" t="str">
        <x:v>본인 작성/의견 추정</x:v>
      </x:c>
      <x:c r="L1050" s="112" t="str">
        <x:v>낮음</x:v>
      </x:c>
      <x:c r="M1050" s="112" t="str">
        <x:v>재게시 표시는 없으나 저자성 직접 증거 부족</x:v>
      </x:c>
      <x:c r="N1050" s="116" t="str"/>
      <x:c r="O1050" s="116" t="str">
        <x:v>https://m.blog.naver.com/sntu2010/221181209763</x:v>
      </x:c>
      <x:c r="P1050" s="112" t="str">
        <x:v>아니오</x:v>
      </x:c>
      <x:c r="Q1050" s="113" t="str">
        <x:v>자동 분류·표본 검토 대상</x:v>
      </x:c>
    </x:row>
    <x:row r="1051">
      <x:c r="A1051" s="106" t="n">
        <x:v>1050</x:v>
      </x:c>
      <x:c r="B1051" s="107" t="n">
        <x:v>43109</x:v>
      </x:c>
      <x:c r="C1051" s="108" t="n">
        <x:v>2018</x:v>
      </x:c>
      <x:c r="D1051" s="109" t="str">
        <x:v>ID-221181209057</x:v>
      </x:c>
      <x:c r="E1051" s="114" t="str">
        <x:v>만화에서 가장 중요한 콘티 제작</x:v>
      </x:c>
      <x:c r="F1051" s="114" t="str">
        <x:v>웹툰생각</x:v>
      </x:c>
      <x:c r="G1051" s="114" t="str">
        <x:v>웹툰 참고</x:v>
      </x:c>
      <x:c r="H1051" s="114" t="str">
        <x:v>캐릭터·전개</x:v>
      </x:c>
      <x:c r="I1051" s="114" t="n">
        <x:v>2</x:v>
      </x:c>
      <x:c r="J1051" s="114" t="str">
        <x:v>캐릭터, 주인공</x:v>
      </x:c>
      <x:c r="K1051" s="114" t="str">
        <x:v>본인 작성/의견 추정</x:v>
      </x:c>
      <x:c r="L1051" s="114" t="str">
        <x:v>낮음</x:v>
      </x:c>
      <x:c r="M1051" s="114" t="str">
        <x:v>재게시 표시는 없으나 저자성 직접 증거 부족</x:v>
      </x:c>
      <x:c r="N1051" s="117" t="str"/>
      <x:c r="O1051" s="117" t="str">
        <x:v>https://m.blog.naver.com/sntu2010/221181209057</x:v>
      </x:c>
      <x:c r="P1051" s="114" t="str">
        <x:v>아니오</x:v>
      </x:c>
      <x:c r="Q1051" s="115" t="str">
        <x:v>수동 검토 필요</x:v>
      </x:c>
    </x:row>
  </x:sheetData>
  <x:pageMargins left="0.7" right="0.7" top="0.75" bottom="0.75" header="0.3" footer="0.3"/>
  <x:tableParts count="1">
    <x:tablePart xmlns:r="http://schemas.openxmlformats.org/officeDocument/2006/relationships" r:id="R126de208d4d04809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.779999732971191" hidden="0" customWidth="1"/>
    <x:col min="2" max="2" width="6.21999979019165" hidden="0" customWidth="1"/>
    <x:col min="3" max="3" width="30" hidden="0" customWidth="1"/>
    <x:col min="4" max="4" width="13.890000343322754" hidden="0" customWidth="1"/>
    <x:col min="5" max="5" width="13.890000343322754" hidden="0" customWidth="1"/>
    <x:col min="6" max="6" width="13.890000343322754" hidden="0" customWidth="1"/>
    <x:col min="7" max="7" width="34.439998626708984" hidden="0" customWidth="1"/>
    <x:col min="8" max="8" width="34.439998626708984" hidden="0" customWidth="1"/>
    <x:col min="9" max="9" width="27.780000686645508" hidden="0" customWidth="1"/>
    <x:col min="10" max="10" width="27.780000686645508" hidden="0" customWidth="1"/>
  </x:cols>
  <x:sheetData>
    <x:row r="1">
      <x:c r="A1" s="97" t="str">
        <x:v>게시일</x:v>
      </x:c>
      <x:c r="B1" s="98" t="str">
        <x:v>연도</x:v>
      </x:c>
      <x:c r="C1" s="98" t="str">
        <x:v>제목</x:v>
      </x:c>
      <x:c r="D1" s="98" t="str">
        <x:v>수동 주제</x:v>
      </x:c>
      <x:c r="E1" s="98" t="str">
        <x:v>출처 유형</x:v>
      </x:c>
      <x:c r="F1" s="98" t="str">
        <x:v>근거 등급</x:v>
      </x:c>
      <x:c r="G1" s="98" t="str">
        <x:v>원문 감리 요약</x:v>
      </x:c>
      <x:c r="H1" s="98" t="str">
        <x:v>편집 지향점 반영</x:v>
      </x:c>
      <x:c r="I1" s="98" t="str">
        <x:v>네이버 원문</x:v>
      </x:c>
      <x:c r="J1" s="99" t="str">
        <x:v>외부 원출처</x:v>
      </x:c>
    </x:row>
    <x:row r="2">
      <x:c r="A2" s="123" t="n">
        <x:v>45032</x:v>
      </x:c>
      <x:c r="B2" s="124" t="n">
        <x:v>2023</x:v>
      </x:c>
      <x:c r="C2" s="112" t="str">
        <x:v>[펌]헌터물을 쓰면 고려해야 하는 부분</x:v>
      </x:c>
      <x:c r="D2" s="112" t="str">
        <x:v>초반부/연독률</x:v>
      </x:c>
      <x:c r="E2" s="112" t="str">
        <x:v>재게시</x:v>
      </x:c>
      <x:c r="F2" s="112" t="str">
        <x:v>중간</x:v>
      </x:c>
      <x:c r="G2" s="112" t="str">
        <x:v>헌터물은 초반 유입보다 장기 기대 유지가 어렵다. 큰·중간·단기 목표와 캐릭터 관계가 함께 굴러야 한다.</x:v>
      </x:c>
      <x:c r="H2" s="112" t="str">
        <x:v>장르 라우팅: 보상 원칙을 대체하지 않고 헌터물의 장기 유지 보정으로 사용</x:v>
      </x:c>
      <x:c r="I2" s="116" t="str">
        <x:v>https://m.blog.naver.com/sntu2010/223076331982</x:v>
      </x:c>
      <x:c r="J2" s="125" t="str">
        <x:v>https://gall.dcinside.com/mgallery/board/view/?id=tgijjdd&amp;no=769914</x:v>
      </x:c>
    </x:row>
    <x:row r="3">
      <x:c r="A3" s="123" t="n">
        <x:v>45032</x:v>
      </x:c>
      <x:c r="B3" s="124" t="n">
        <x:v>2023</x:v>
      </x:c>
      <x:c r="C3" s="112" t="str">
        <x:v>[펌]플롯 짜는 실전 팁</x:v>
      </x:c>
      <x:c r="D3" s="112" t="str">
        <x:v>캐릭터·전개</x:v>
      </x:c>
      <x:c r="E3" s="112" t="str">
        <x:v>재게시</x:v>
      </x:c>
      <x:c r="F3" s="112" t="str">
        <x:v>중간</x:v>
      </x:c>
      <x:c r="G3" s="112" t="str">
        <x:v>에피소드는 사건 발생→주인공 개입→해결의 뼈대 위에, 먼저 정한 뽕과 보상을 극대화하는 장면만 남긴다.</x:v>
      </x:c>
      <x:c r="H3" s="112" t="str">
        <x:v>Arc 설계: 사건보다 지급할 만족을 먼저 정하고 역산</x:v>
      </x:c>
      <x:c r="I3" s="116" t="str">
        <x:v>https://m.blog.naver.com/sntu2010/223076327286</x:v>
      </x:c>
      <x:c r="J3" s="125" t="str">
        <x:v>https://gall.dcinside.com/mgallery/board/view/?id=tgijjdd&amp;no=735058&amp;exception_mode=recommend&amp;page=9</x:v>
      </x:c>
    </x:row>
    <x:row r="4">
      <x:c r="A4" s="123" t="n">
        <x:v>45032</x:v>
      </x:c>
      <x:c r="B4" s="124" t="n">
        <x:v>2023</x:v>
      </x:c>
      <x:c r="C4" s="112" t="str">
        <x:v>[펌]오랜만에 돌아온, 내가 플롯짜는 방법 (스압)</x:v>
      </x:c>
      <x:c r="D4" s="112" t="str">
        <x:v>캐릭터·전개</x:v>
      </x:c>
      <x:c r="E4" s="112" t="str">
        <x:v>재게시</x:v>
      </x:c>
      <x:c r="F4" s="112" t="str">
        <x:v>중간</x:v>
      </x:c>
      <x:c r="G4" s="112" t="str">
        <x:v>장기 플롯·에피소드 플롯·화별 플롯을 나누고, 에피소드에서는 주인공이 얻을 것을 먼저 정해 거꾸로 짠다.</x:v>
      </x:c>
      <x:c r="H4" s="112" t="str">
        <x:v>Arc 설계: Series→NarrativeArc→Chapter 3층 보강</x:v>
      </x:c>
      <x:c r="I4" s="116" t="str">
        <x:v>https://m.blog.naver.com/sntu2010/223076325856</x:v>
      </x:c>
      <x:c r="J4" s="125" t="str">
        <x:v>https://gall.dcinside.com/mgallery/board/view/?id=tgijjdd&amp;no=747727&amp;exception_mode=recommend&amp;search_head=30&amp;page=1</x:v>
      </x:c>
    </x:row>
    <x:row r="5">
      <x:c r="A5" s="123" t="n">
        <x:v>44900</x:v>
      </x:c>
      <x:c r="B5" s="124" t="n">
        <x:v>2022</x:v>
      </x:c>
      <x:c r="C5" s="112" t="str">
        <x:v>[펌]초보 작가는 왜 연독을 유지하지 못하는가</x:v>
      </x:c>
      <x:c r="D5" s="112" t="str">
        <x:v>초반부/연독률</x:v>
      </x:c>
      <x:c r="E5" s="112" t="str">
        <x:v>재게시</x:v>
      </x:c>
      <x:c r="F5" s="112" t="str">
        <x:v>중간</x:v>
      </x:c>
      <x:c r="G5" s="112" t="str">
        <x:v>주인공이 평범한 독자보다 못한 판단을 하거나 설정상 경력을 행동으로 증명하지 못하면 신뢰와 연독이 무너진다.</x:v>
      </x:c>
      <x:c r="H5" s="112" t="str">
        <x:v>감리: 주인공 판단력과 HOW의 행동 영수증 검사</x:v>
      </x:c>
      <x:c r="I5" s="116" t="str">
        <x:v>https://m.blog.naver.com/sntu2010/222947151111</x:v>
      </x:c>
      <x:c r="J5" s="125" t="str">
        <x:v>https://gall.dcinside.com/mgallery/board/view/?id=tgijjdd&amp;no=708575&amp;exception_mode=recommend&amp;search_head=30&amp;page=1</x:v>
      </x:c>
    </x:row>
    <x:row r="6">
      <x:c r="A6" s="123" t="n">
        <x:v>44900</x:v>
      </x:c>
      <x:c r="B6" s="124" t="n">
        <x:v>2022</x:v>
      </x:c>
      <x:c r="C6" s="112" t="str">
        <x:v>[펌]듣보 5년차 기성 팁 짤막정리</x:v>
      </x:c>
      <x:c r="D6" s="112" t="str">
        <x:v>작법·상업성</x:v>
      </x:c>
      <x:c r="E6" s="112" t="str">
        <x:v>재게시(원문 내부 혼합)</x:v>
      </x:c>
      <x:c r="F6" s="112" t="str">
        <x:v>낮음</x:v>
      </x:c>
      <x:c r="G6" s="112" t="str">
        <x:v>개인적 성취 뒤에 타인의 인정이라는 사회적 성공을 붙이면 보상 체감이 커진다. 다만 원문 자체가 인용과 작성자 메모의 혼합이다.</x:v>
      </x:c>
      <x:c r="H6" s="112" t="str">
        <x:v>보상층: 성취→사회적 인정 순서 보강</x:v>
      </x:c>
      <x:c r="I6" s="116" t="str">
        <x:v>https://m.blog.naver.com/sntu2010/222947150338</x:v>
      </x:c>
      <x:c r="J6" s="125" t="str">
        <x:v>https://gall.dcinside.com/mgallery/board/view/?id=tgijjdd&amp;no=704768&amp;exception_mode=recommend&amp;search_head=30&amp;page=1</x:v>
      </x:c>
    </x:row>
    <x:row r="7">
      <x:c r="A7" s="123" t="n">
        <x:v>44697</x:v>
      </x:c>
      <x:c r="B7" s="124" t="n">
        <x:v>2022</x:v>
      </x:c>
      <x:c r="C7" s="112" t="str">
        <x:v>[펌]연독률 지키는 기본적인 팁</x:v>
      </x:c>
      <x:c r="D7" s="112" t="str">
        <x:v>초반부/연독률</x:v>
      </x:c>
      <x:c r="E7" s="112" t="str">
        <x:v>재게시</x:v>
      </x:c>
      <x:c r="F7" s="112" t="str">
        <x:v>중간</x:v>
      </x:c>
      <x:c r="G7" s="112" t="str">
        <x:v>초반에 약속한 작품 방향과 반복 만족을 유지해야 한다. 작가가 자기 패턴에 먼저 질려 방향을 바꾸면 연독이 깨진다.</x:v>
      </x:c>
      <x:c r="H7" s="112" t="str">
        <x:v>Series Contract: 반복 엔진과 방향 이탈 감리</x:v>
      </x:c>
      <x:c r="I7" s="116" t="str">
        <x:v>https://m.blog.naver.com/sntu2010/222734096260</x:v>
      </x:c>
      <x:c r="J7" s="125" t="str">
        <x:v>https://m.dcinside.com/board/tgijjdd/621764</x:v>
      </x:c>
    </x:row>
    <x:row r="8">
      <x:c r="A8" s="123" t="n">
        <x:v>44673</x:v>
      </x:c>
      <x:c r="B8" s="124" t="n">
        <x:v>2022</x:v>
      </x:c>
      <x:c r="C8" s="112" t="str">
        <x:v>Q. 쉬어가는 에피소드는 어떻게 쓰나요?</x:v>
      </x:c>
      <x:c r="D8" s="112" t="str">
        <x:v>캐릭터·전개</x:v>
      </x:c>
      <x:c r="E8" s="112" t="str">
        <x:v>본인 작성/의견</x:v>
      </x:c>
      <x:c r="F8" s="112" t="str">
        <x:v>높음</x:v>
      </x:c>
      <x:c r="G8" s="112" t="str">
        <x:v>쉬어가는 에피소드도 정지 구간이 아니라 관계·인정·생활 보상을 지급하고 다음 기대를 여는 구간이어야 한다.</x:v>
      </x:c>
      <x:c r="H8" s="112" t="str">
        <x:v>페이싱: 저강도 Arc에도 지급 통화와 다음 압력 설정</x:v>
      </x:c>
      <x:c r="I8" s="116" t="str">
        <x:v>https://m.blog.naver.com/sntu2010/222707997910</x:v>
      </x:c>
      <x:c r="J8" s="125" t="str"/>
    </x:row>
    <x:row r="9">
      <x:c r="A9" s="123" t="n">
        <x:v>44601</x:v>
      </x:c>
      <x:c r="B9" s="124" t="n">
        <x:v>2022</x:v>
      </x:c>
      <x:c r="C9" s="112" t="str">
        <x:v>Q. 중위 플롯은 어떤식으로 정해야 하는 걸까요?</x:v>
      </x:c>
      <x:c r="D9" s="112" t="str">
        <x:v>캐릭터·전개</x:v>
      </x:c>
      <x:c r="E9" s="112" t="str">
        <x:v>본인 답변</x:v>
      </x:c>
      <x:c r="F9" s="112" t="str">
        <x:v>높음</x:v>
      </x:c>
      <x:c r="G9" s="112" t="str">
        <x:v>에피소드에 의도를 끼우지 말고, 먼저 얻을 것과 보여줄 것을 정한 뒤 사건을 만든다. 한 Arc의 보상은 다음 Arc의 입구가 될 수 있다.</x:v>
      </x:c>
      <x:c r="H9" s="112" t="str">
        <x:v>Arc 설계: 의도 선행과 Arc bridge 핵심 반영</x:v>
      </x:c>
      <x:c r="I9" s="116" t="str">
        <x:v>https://m.blog.naver.com/sntu2010/222643293597</x:v>
      </x:c>
      <x:c r="J9" s="125" t="str"/>
    </x:row>
    <x:row r="10">
      <x:c r="A10" s="123" t="n">
        <x:v>44595</x:v>
      </x:c>
      <x:c r="B10" s="124" t="n">
        <x:v>2022</x:v>
      </x:c>
      <x:c r="C10" s="112" t="str">
        <x:v>[펌]카카오 소설 런칭 과정</x:v>
      </x:c>
      <x:c r="D10" s="112" t="str">
        <x:v>플랫폼·투고·계약</x:v>
      </x:c>
      <x:c r="E10" s="112" t="str">
        <x:v>재게시</x:v>
      </x:c>
      <x:c r="F10" s="112" t="str">
        <x:v>낮음</x:v>
      </x:c>
      <x:c r="G10" s="112" t="str">
        <x:v>카카오 런칭 준비·심사·프로모션·완결 후 타 플랫폼 전개를 설명하지만 2022년 시점 경험담이다.</x:v>
      </x:c>
      <x:c r="H10" s="112" t="str">
        <x:v>운영 참고: 현재 절차로 사용 금지, 역사 자료로만 보존</x:v>
      </x:c>
      <x:c r="I10" s="116" t="str">
        <x:v>https://m.blog.naver.com/sntu2010/222637935460</x:v>
      </x:c>
      <x:c r="J10" s="125" t="str">
        <x:v>https://gall.dcinside.com/mgallery/board/view/?id=tgijjdd&amp;no=535878&amp;exception_mode=recommend&amp;search_head=30&amp;page=1</x:v>
      </x:c>
    </x:row>
    <x:row r="11">
      <x:c r="A11" s="123" t="n">
        <x:v>44584</x:v>
      </x:c>
      <x:c r="B11" s="124" t="n">
        <x:v>2022</x:v>
      </x:c>
      <x:c r="C11" s="112" t="str">
        <x:v>초반부에 글이 막힐 때 고려해야 할 부분!</x:v>
      </x:c>
      <x:c r="D11" s="112" t="str">
        <x:v>초반부/연독률</x:v>
      </x:c>
      <x:c r="E11" s="112" t="str">
        <x:v>본인 작성/의견</x:v>
      </x:c>
      <x:c r="F11" s="112" t="str">
        <x:v>높음</x:v>
      </x:c>
      <x:c r="G11" s="112" t="str">
        <x:v>초반에 막히는 원인을 개별 에피소드보다 중위 플롯의 부재로 본다. 제시한 5화·30화 단위는 설명 예시다.</x:v>
      </x:c>
      <x:c r="H11" s="112" t="str">
        <x:v>Arc 설계: 중위 방향은 채택, 고정 길이는 폐기</x:v>
      </x:c>
      <x:c r="I11" s="116" t="str">
        <x:v>https://m.blog.naver.com/sntu2010/222629256880</x:v>
      </x:c>
      <x:c r="J11" s="125" t="str"/>
    </x:row>
    <x:row r="12">
      <x:c r="A12" s="123" t="n">
        <x:v>44574</x:v>
      </x:c>
      <x:c r="B12" s="124" t="n">
        <x:v>2022</x:v>
      </x:c>
      <x:c r="C12" s="112" t="str">
        <x:v>웹소설에서 인기 소재를 섞는 방식에 대해 알아보자!</x:v>
      </x:c>
      <x:c r="D12" s="112" t="str">
        <x:v>작법·상업성</x:v>
      </x:c>
      <x:c r="E12" s="112" t="str">
        <x:v>본인 경험담</x:v>
      </x:c>
      <x:c r="F12" s="112" t="str">
        <x:v>높음</x:v>
      </x:c>
      <x:c r="G12" s="112" t="str">
        <x:v>익숙한 인기 소재 2~3개에 고유한 차이 하나를 얹되, 작가가 감당할 수 없는 설정 과적재는 피한다.</x:v>
      </x:c>
      <x:c r="H12" s="112" t="str">
        <x:v>기획: 익숙함+고유차 조합 규칙 보강</x:v>
      </x:c>
      <x:c r="I12" s="116" t="str">
        <x:v>https://m.blog.naver.com/sntu2010/222620534644</x:v>
      </x:c>
      <x:c r="J12" s="125" t="str"/>
    </x:row>
    <x:row r="13">
      <x:c r="A13" s="123" t="n">
        <x:v>44387</x:v>
      </x:c>
      <x:c r="B13" s="124" t="n">
        <x:v>2021</x:v>
      </x:c>
      <x:c r="C13" s="112" t="str">
        <x:v>구상을 어디까지 하고 글 쓰기 시작할까?</x:v>
      </x:c>
      <x:c r="D13" s="112" t="str">
        <x:v>캐릭터·전개</x:v>
      </x:c>
      <x:c r="E13" s="112" t="str">
        <x:v>본인 경험담</x:v>
      </x:c>
      <x:c r="F13" s="112" t="str">
        <x:v>높음</x:v>
      </x:c>
      <x:c r="G13" s="112" t="str">
        <x:v>즉흥성과 사전 구상의 장단점을 비교하며, 막힐 때는 에피소드의 기승전결을 한 단계 더 구체화하라고 권한다.</x:v>
      </x:c>
      <x:c r="H13" s="112" t="str">
        <x:v>집필 운영: 작가별 가변 계획 깊이로 사용</x:v>
      </x:c>
      <x:c r="I13" s="116" t="str">
        <x:v>https://m.blog.naver.com/sntu2010/222426614039</x:v>
      </x:c>
      <x:c r="J13" s="125" t="str"/>
    </x:row>
    <x:row r="14">
      <x:c r="A14" s="123" t="n">
        <x:v>44370</x:v>
      </x:c>
      <x:c r="B14" s="124" t="n">
        <x:v>2021</x:v>
      </x:c>
      <x:c r="C14" s="112" t="str">
        <x:v>글이 안 써지는 슬럼프를 겪고 있는 분들에게</x:v>
      </x:c>
      <x:c r="D14" s="112" t="str">
        <x:v>수익·운영</x:v>
      </x:c>
      <x:c r="E14" s="112" t="str">
        <x:v>본인 경험담</x:v>
      </x:c>
      <x:c r="F14" s="112" t="str">
        <x:v>높음</x:v>
      </x:c>
      <x:c r="G14" s="112" t="str">
        <x:v>마감에 쫓겨 작품의 기둥을 벗어나는 것이 중후반 붕괴와 대량 하차를 만든다. 현재 구간의 역할을 다시 확인해야 한다.</x:v>
      </x:c>
      <x:c r="H14" s="112" t="str">
        <x:v>운영·감리: 마감 압박에 의한 Contract 이탈 검사</x:v>
      </x:c>
      <x:c r="I14" s="116" t="str">
        <x:v>https://m.blog.naver.com/sntu2010/222407733441</x:v>
      </x:c>
      <x:c r="J14" s="125" t="str"/>
    </x:row>
    <x:row r="15">
      <x:c r="A15" s="123" t="n">
        <x:v>44351</x:v>
      </x:c>
      <x:c r="B15" s="124" t="n">
        <x:v>2021</x:v>
      </x:c>
      <x:c r="C15" s="112" t="str">
        <x:v>전업 웹소설 작가 생활을 하면서 몸으로 느낀 것</x:v>
      </x:c>
      <x:c r="D15" s="112" t="str">
        <x:v>수익·운영</x:v>
      </x:c>
      <x:c r="E15" s="112" t="str">
        <x:v>본인 경험담</x:v>
      </x:c>
      <x:c r="F15" s="112" t="str">
        <x:v>높음</x:v>
      </x:c>
      <x:c r="G15" s="112" t="str">
        <x:v>장시간 집필의 운동·의자·키보드·작업 공간 문제를 5년 전업 경험으로 정리한다.</x:v>
      </x:c>
      <x:c r="H15" s="112" t="str">
        <x:v>작가 운영 참고: 작품 편집 규칙과 분리</x:v>
      </x:c>
      <x:c r="I15" s="116" t="str">
        <x:v>https://m.blog.naver.com/sntu2010/222384171785</x:v>
      </x:c>
      <x:c r="J15" s="125" t="str"/>
    </x:row>
    <x:row r="16">
      <x:c r="A16" s="123" t="n">
        <x:v>44349</x:v>
      </x:c>
      <x:c r="B16" s="124" t="n">
        <x:v>2021</x:v>
      </x:c>
      <x:c r="C16" s="112" t="str">
        <x:v>Q. 웹소설을 어떻게 분석하나요?</x:v>
      </x:c>
      <x:c r="D16" s="112" t="str">
        <x:v>작법·상업성</x:v>
      </x:c>
      <x:c r="E16" s="112" t="str">
        <x:v>본인 경험담</x:v>
      </x:c>
      <x:c r="F16" s="112" t="str">
        <x:v>높음</x:v>
      </x:c>
      <x:c r="G16" s="112" t="str">
        <x:v>부족한 기술을 정한 뒤 그 기술을 잘 쓰는 작품을 짧게 표적 분석한다. 시점 전환의 위치와 의도를 실제 작품에서 표시했다.</x:v>
      </x:c>
      <x:c r="H16" s="112" t="str">
        <x:v>Reverse Lab 방법: 결함 중심 표적 분석 보강</x:v>
      </x:c>
      <x:c r="I16" s="116" t="str">
        <x:v>https://m.blog.naver.com/sntu2010/222380463352</x:v>
      </x:c>
      <x:c r="J16" s="125" t="str"/>
    </x:row>
    <x:row r="17">
      <x:c r="A17" s="123" t="n">
        <x:v>44345</x:v>
      </x:c>
      <x:c r="B17" s="124" t="n">
        <x:v>2021</x:v>
      </x:c>
      <x:c r="C17" s="112" t="str">
        <x:v>5년차 전업 웹소설 작가의 소소한 팁</x:v>
      </x:c>
      <x:c r="D17" s="112" t="str">
        <x:v>수익·운영</x:v>
      </x:c>
      <x:c r="E17" s="112" t="str">
        <x:v>본인 작성/의견</x:v>
      </x:c>
      <x:c r="F17" s="112" t="str">
        <x:v>중간</x:v>
      </x:c>
      <x:c r="G17" s="112" t="str">
        <x:v>장기 전업 집필에서 일정·체력·지속 가능성을 관리하는 실무 팁을 제공한다.</x:v>
      </x:c>
      <x:c r="H17" s="112" t="str">
        <x:v>작가 운영 참고: 편집 규칙과 분리</x:v>
      </x:c>
      <x:c r="I17" s="116" t="str">
        <x:v>https://m.blog.naver.com/sntu2010/222374068428</x:v>
      </x:c>
      <x:c r="J17" s="125" t="str"/>
    </x:row>
    <x:row r="18">
      <x:c r="A18" s="123" t="n">
        <x:v>44291</x:v>
      </x:c>
      <x:c r="B18" s="124" t="n">
        <x:v>2021</x:v>
      </x:c>
      <x:c r="C18" s="112" t="str">
        <x:v>상업적인 글에 들어가야 하는 3대 요소</x:v>
      </x:c>
      <x:c r="D18" s="112" t="str">
        <x:v>작법·상업성</x:v>
      </x:c>
      <x:c r="E18" s="112" t="str">
        <x:v>본인 경험담</x:v>
      </x:c>
      <x:c r="F18" s="112" t="str">
        <x:v>높음</x:v>
      </x:c>
      <x:c r="G18" s="112" t="str">
        <x:v>상업적 남성향의 중심을 매력적인 주인공, 계속되는 성장, 시원한 사이다로 잡고 히로인과 조연도 목표를 가속해야 한다고 본다.</x:v>
      </x:c>
      <x:c r="H18" s="112" t="str">
        <x:v>핵심 보강: 자기중심성·성장·보상·유용한 조연</x:v>
      </x:c>
      <x:c r="I18" s="116" t="str">
        <x:v>https://m.blog.naver.com/sntu2010/222299031676</x:v>
      </x:c>
      <x:c r="J18" s="125" t="str"/>
    </x:row>
    <x:row r="19">
      <x:c r="A19" s="123" t="n">
        <x:v>44291</x:v>
      </x:c>
      <x:c r="B19" s="124" t="n">
        <x:v>2021</x:v>
      </x:c>
      <x:c r="C19" s="112" t="str">
        <x:v>매니지와 좋은 조건으로 계약하는 방법</x:v>
      </x:c>
      <x:c r="D19" s="112" t="str">
        <x:v>플랫폼·투고·계약</x:v>
      </x:c>
      <x:c r="E19" s="112" t="str">
        <x:v>본인 작성/의견</x:v>
      </x:c>
      <x:c r="F19" s="112" t="str">
        <x:v>중간</x:v>
      </x:c>
      <x:c r="G19" s="112" t="str">
        <x:v>첫 계약에서 한 곳에 즉시 사인하지 말고 여러 제안을 비교해 협상력을 확보하라고 설명한다.</x:v>
      </x:c>
      <x:c r="H19" s="112" t="str">
        <x:v>운영 참고: 법률 자문 아님, 현재 계약 검토와 분리</x:v>
      </x:c>
      <x:c r="I19" s="116" t="str">
        <x:v>https://m.blog.naver.com/sntu2010/222298962580</x:v>
      </x:c>
      <x:c r="J19" s="125" t="str"/>
    </x:row>
    <x:row r="20">
      <x:c r="A20" s="123" t="n">
        <x:v>44287</x:v>
      </x:c>
      <x:c r="B20" s="124" t="n">
        <x:v>2021</x:v>
      </x:c>
      <x:c r="C20" s="112" t="str">
        <x:v>어느 출판사(매니지)가 상위권 1티어일까?</x:v>
      </x:c>
      <x:c r="D20" s="112" t="str">
        <x:v>플랫폼·투고·계약</x:v>
      </x:c>
      <x:c r="E20" s="112" t="str">
        <x:v>본인 경험담</x:v>
      </x:c>
      <x:c r="F20" s="112" t="str">
        <x:v>낮음</x:v>
      </x:c>
      <x:c r="G20" s="112" t="str">
        <x:v>매니지의 등급보다 담당 역량·플랫폼 적합성·계약 조건을 함께 보라고 설명한 2021년 시장 관찰이다.</x:v>
      </x:c>
      <x:c r="H20" s="112" t="str">
        <x:v>운영 참고: 현재 업체 평가로 전용 금지</x:v>
      </x:c>
      <x:c r="I20" s="116" t="str">
        <x:v>https://m.blog.naver.com/sntu2010/222294795457</x:v>
      </x:c>
      <x:c r="J20" s="125" t="str"/>
    </x:row>
    <x:row r="21">
      <x:c r="A21" s="123" t="n">
        <x:v>44247</x:v>
      </x:c>
      <x:c r="B21" s="124" t="n">
        <x:v>2021</x:v>
      </x:c>
      <x:c r="C21" s="112" t="str">
        <x:v>웹소설을 써서 돈을 벌고 싶다면 명심해야 할 것</x:v>
      </x:c>
      <x:c r="D21" s="112" t="str">
        <x:v>작법·상업성</x:v>
      </x:c>
      <x:c r="E21" s="112" t="str">
        <x:v>본인 경험담</x:v>
      </x:c>
      <x:c r="F21" s="112" t="str">
        <x:v>높음</x:v>
      </x:c>
      <x:c r="G21" s="112" t="str">
        <x:v>독자가 100원을 낼 이유를 주인공 몰입, 전용 특별함, 기대감, 장기 궁금증, 매력적인 주연에서 찾는다.</x:v>
      </x:c>
      <x:c r="H21" s="112" t="str">
        <x:v>핵심 보강: 주인공 계약과 HOW·기대·캐릭터</x:v>
      </x:c>
      <x:c r="I21" s="116" t="str">
        <x:v>https://m.blog.naver.com/sntu2010/222250304519</x:v>
      </x:c>
      <x:c r="J21" s="125" t="str"/>
    </x:row>
    <x:row r="22">
      <x:c r="A22" s="123" t="n">
        <x:v>44000</x:v>
      </x:c>
      <x:c r="B22" s="124" t="n">
        <x:v>2020</x:v>
      </x:c>
      <x:c r="C22" s="112" t="str">
        <x:v>먼치킨 주인공 설정이 양날의 검인 이유</x:v>
      </x:c>
      <x:c r="D22" s="112" t="str">
        <x:v>초반부/연독률</x:v>
      </x:c>
      <x:c r="E22" s="112" t="str">
        <x:v>본인 경험담</x:v>
      </x:c>
      <x:c r="F22" s="112" t="str">
        <x:v>높음</x:v>
      </x:c>
      <x:c r="G22" s="112" t="str">
        <x:v>초반 먼치킨은 강한 유입을 만들지만 성장과 상대의 상한을 빨리 소모하면 중반에 무너진다.</x:v>
      </x:c>
      <x:c r="H22" s="112" t="str">
        <x:v>페이싱: 힘의 크기보다 활약·인정 통화 변주</x:v>
      </x:c>
      <x:c r="I22" s="116" t="str">
        <x:v>https://m.blog.naver.com/sntu2010/222004675779</x:v>
      </x:c>
      <x:c r="J22" s="125" t="str"/>
    </x:row>
    <x:row r="23">
      <x:c r="A23" s="123" t="n">
        <x:v>43971</x:v>
      </x:c>
      <x:c r="B23" s="124" t="n">
        <x:v>2020</x:v>
      </x:c>
      <x:c r="C23" s="112" t="str">
        <x:v>연독률 방어하는 방법을 고찰해보자!</x:v>
      </x:c>
      <x:c r="D23" s="112" t="str">
        <x:v>초반부/연독률</x:v>
      </x:c>
      <x:c r="E23" s="112" t="str">
        <x:v>본인 경험+외부 자문</x:v>
      </x:c>
      <x:c r="F23" s="112" t="str">
        <x:v>높음</x:v>
      </x:c>
      <x:c r="G23" s="112" t="str">
        <x:v>보상은 자주 주되 최고 단계의 성장 재료를 한꺼번에 소모하지 않는다. 부분 승리·인정·유용한 조연으로 현재 만족과 미래 기대를 함께 준다.</x:v>
      </x:c>
      <x:c r="H23" s="112" t="str">
        <x:v>핵심 보강: 즉시 지급과 장기 기대의 동시 설계</x:v>
      </x:c>
      <x:c r="I23" s="116" t="str">
        <x:v>https://m.blog.naver.com/sntu2010/221971608513</x:v>
      </x:c>
      <x:c r="J23" s="125" t="str"/>
    </x:row>
    <x:row r="24">
      <x:c r="A24" s="123" t="n">
        <x:v>43710</x:v>
      </x:c>
      <x:c r="B24" s="124" t="n">
        <x:v>2019</x:v>
      </x:c>
      <x:c r="C24" s="112" t="str">
        <x:v>시점 변화를 능숙하게 사용해보자!</x:v>
      </x:c>
      <x:c r="D24" s="112" t="str">
        <x:v>캐릭터·전개</x:v>
      </x:c>
      <x:c r="E24" s="112" t="str">
        <x:v>본인 경험담</x:v>
      </x:c>
      <x:c r="F24" s="112" t="str">
        <x:v>높음</x:v>
      </x:c>
      <x:c r="G24" s="112" t="str">
        <x:v>초반은 주인공 몰입을 우선하고, 이후 외부 시점으로 주인공 고평가·상대 준비·다음 Arc 예고를 만든다. 주인공 시점은 매 화 남긴다.</x:v>
      </x:c>
      <x:c r="H24" s="112" t="str">
        <x:v>연출: 인정 카메라와 Arc bridge 보강</x:v>
      </x:c>
      <x:c r="I24" s="116" t="str">
        <x:v>https://m.blog.naver.com/sntu2010/221636509288</x:v>
      </x:c>
      <x:c r="J24" s="125" t="str"/>
    </x:row>
    <x:row r="25">
      <x:c r="A25" s="123" t="n">
        <x:v>43627</x:v>
      </x:c>
      <x:c r="B25" s="124" t="n">
        <x:v>2019</x:v>
      </x:c>
      <x:c r="C25" s="112" t="str">
        <x:v>인기 웹소설 '나혼자만레벨업'의 흥행 이유를 분석해보자!</x:v>
      </x:c>
      <x:c r="D25" s="112" t="str">
        <x:v>작법·상업성</x:v>
      </x:c>
      <x:c r="E25" s="112" t="str">
        <x:v>본인 분석</x:v>
      </x:c>
      <x:c r="F25" s="112" t="str">
        <x:v>높음</x:v>
      </x:c>
      <x:c r="G25" s="112" t="str">
        <x:v>꾸준한 성장·인정·사이다와 낮은 하차 사유가 흥행을 만든다고 분석한다. 히로인 부재 평가는 특정 작품·당시 헌터물 맥락이다.</x:v>
      </x:c>
      <x:c r="H25" s="112" t="str">
        <x:v>충돌 분리: 여캐 중심 공통 원칙을 뒤집지 않는 장르 사례</x:v>
      </x:c>
      <x:c r="I25" s="116" t="str">
        <x:v>https://m.blog.naver.com/sntu2010/221559781034</x:v>
      </x:c>
      <x:c r="J25" s="125" t="str"/>
    </x:row>
    <x:row r="26">
      <x:c r="A26" s="123" t="n">
        <x:v>43600</x:v>
      </x:c>
      <x:c r="B26" s="124" t="n">
        <x:v>2019</x:v>
      </x:c>
      <x:c r="C26" s="112" t="str">
        <x:v>웹소설 연재하다가 중후반에 글이 무너지는 이유</x:v>
      </x:c>
      <x:c r="D26" s="112" t="str">
        <x:v>캐릭터·전개</x:v>
      </x:c>
      <x:c r="E26" s="112" t="str">
        <x:v>본인 경험담</x:v>
      </x:c>
      <x:c r="F26" s="112" t="str">
        <x:v>높음</x:v>
      </x:c>
      <x:c r="G26" s="112" t="str">
        <x:v>중후반 붕괴를 목적 상실, 마감 타협, 즉흥 아이디어에 의한 정체성 파괴, 중간 이정표 부재로 설명한다.</x:v>
      </x:c>
      <x:c r="H26" s="112" t="str">
        <x:v>Series Contract: 자연 Arc 이정표와 획득 로드맵 보강</x:v>
      </x:c>
      <x:c r="I26" s="116" t="str">
        <x:v>https://m.blog.naver.com/sntu2010/221538600359</x:v>
      </x:c>
      <x:c r="J26" s="125" t="str"/>
    </x:row>
    <x:row r="27">
      <x:c r="A27" s="123" t="n">
        <x:v>43513</x:v>
      </x:c>
      <x:c r="B27" s="124" t="n">
        <x:v>2019</x:v>
      </x:c>
      <x:c r="C27" s="112" t="str">
        <x:v>문피아 유료 전환? 적정한 유료 전환률을 알아보자!</x:v>
      </x:c>
      <x:c r="D27" s="112" t="str">
        <x:v>플랫폼·투고·계약</x:v>
      </x:c>
      <x:c r="E27" s="112" t="str">
        <x:v>본인 경험담</x:v>
      </x:c>
      <x:c r="F27" s="112" t="str">
        <x:v>낮음</x:v>
      </x:c>
      <x:c r="G27" s="112" t="str">
        <x:v>문피아의 당시 무료 조회·유료 전환 경험치를 제시하지만 2019년 플랫폼 수치다.</x:v>
      </x:c>
      <x:c r="H27" s="112" t="str">
        <x:v>역사 자료: 현재 임계값·전환율 기준으로 사용 금지</x:v>
      </x:c>
      <x:c r="I27" s="116" t="str">
        <x:v>https://m.blog.naver.com/sntu2010/221468059601</x:v>
      </x:c>
      <x:c r="J27" s="125" t="str"/>
    </x:row>
    <x:row r="28">
      <x:c r="A28" s="123" t="n">
        <x:v>43391</x:v>
      </x:c>
      <x:c r="B28" s="124" t="n">
        <x:v>2018</x:v>
      </x:c>
      <x:c r="C28" s="112" t="str">
        <x:v>웹소설 연재에 대한 궁금증 해소(10편)</x:v>
      </x:c>
      <x:c r="D28" s="112" t="str">
        <x:v>수익·운영</x:v>
      </x:c>
      <x:c r="E28" s="112" t="str">
        <x:v>본인 경험담</x:v>
      </x:c>
      <x:c r="F28" s="112" t="str">
        <x:v>낮음</x:v>
      </x:c>
      <x:c r="G28" s="112" t="str">
        <x:v>프리랜서 세금 신고와 작업 장비 경험을 설명한 2018년 기록이다.</x:v>
      </x:c>
      <x:c r="H28" s="112" t="str">
        <x:v>역사 자료: 현재 세무 조언으로 사용 금지</x:v>
      </x:c>
      <x:c r="I28" s="116" t="str">
        <x:v>https://m.blog.naver.com/sntu2010/221380085099</x:v>
      </x:c>
      <x:c r="J28" s="125" t="str"/>
    </x:row>
    <x:row r="29">
      <x:c r="A29" s="123" t="n">
        <x:v>43282</x:v>
      </x:c>
      <x:c r="B29" s="124" t="n">
        <x:v>2018</x:v>
      </x:c>
      <x:c r="C29" s="112" t="str">
        <x:v>전업 웹소설 작가가 공개하는 월수입과 수입구조!(상편)</x:v>
      </x:c>
      <x:c r="D29" s="112" t="str">
        <x:v>수익·운영</x:v>
      </x:c>
      <x:c r="E29" s="112" t="str">
        <x:v>본인 경험담</x:v>
      </x:c>
      <x:c r="F29" s="112" t="str">
        <x:v>낮음</x:v>
      </x:c>
      <x:c r="G29" s="112" t="str">
        <x:v>2018년 조아라 연재 수입과 정산 구조를 실제 월 단위로 공개한다.</x:v>
      </x:c>
      <x:c r="H29" s="112" t="str">
        <x:v>역사 자료: 수익 구조의 사례로만 보존</x:v>
      </x:c>
      <x:c r="I29" s="116" t="str">
        <x:v>https://m.blog.naver.com/sntu2010/221310212977</x:v>
      </x:c>
      <x:c r="J29" s="125" t="str"/>
    </x:row>
    <x:row r="30">
      <x:c r="A30" s="123" t="n">
        <x:v>43172</x:v>
      </x:c>
      <x:c r="B30" s="124" t="n">
        <x:v>2018</x:v>
      </x:c>
      <x:c r="C30" s="112" t="str">
        <x:v>웹소설 작가가 되는 방법(상편)</x:v>
      </x:c>
      <x:c r="D30" s="112" t="str">
        <x:v>플랫폼·투고·계약</x:v>
      </x:c>
      <x:c r="E30" s="112" t="str">
        <x:v>본인 경험담</x:v>
      </x:c>
      <x:c r="F30" s="112" t="str">
        <x:v>낮음</x:v>
      </x:c>
      <x:c r="G30" s="112" t="str">
        <x:v>남성향 판타지 작가의 당시 데뷔·연재 경로를 설명한다.</x:v>
      </x:c>
      <x:c r="H30" s="112" t="str">
        <x:v>역사 자료: 현재 플랫폼 진입 절차로 사용 금지</x:v>
      </x:c>
      <x:c r="I30" s="116" t="str">
        <x:v>https://m.blog.naver.com/sntu2010/221227995358</x:v>
      </x:c>
      <x:c r="J30" s="125" t="str"/>
    </x:row>
    <x:row r="31">
      <x:c r="A31" s="126" t="n">
        <x:v>43172</x:v>
      </x:c>
      <x:c r="B31" s="127" t="n">
        <x:v>2018</x:v>
      </x:c>
      <x:c r="C31" s="114" t="str">
        <x:v>웹소설 잘 쓰는 방법(1부)</x:v>
      </x:c>
      <x:c r="D31" s="114" t="str">
        <x:v>작법·상업성</x:v>
      </x:c>
      <x:c r="E31" s="114" t="str">
        <x:v>본인 정리+타 작가 전언</x:v>
      </x:c>
      <x:c r="F31" s="114" t="str">
        <x:v>중간</x:v>
      </x:c>
      <x:c r="G31" s="114" t="str">
        <x:v>웹소설을 직관적으로 읽히는 대리만족형 스낵 콘텐츠로 보고, 느린 묘사와 장기 스트레스를 경계한다.</x:v>
      </x:c>
      <x:c r="H31" s="114" t="str">
        <x:v>핵심 보강: 대사 중심·빠른 지급·정서 소모 억제</x:v>
      </x:c>
      <x:c r="I31" s="117" t="str">
        <x:v>https://m.blog.naver.com/sntu2010/221227844608</x:v>
      </x:c>
      <x:c r="J31" s="128" t="str"/>
    </x:row>
  </x:sheetData>
  <x:pageMargins left="0.7" right="0.7" top="0.75" bottom="0.75" header="0.3" footer="0.3"/>
  <x:tableParts count="1">
    <x:tablePart xmlns:r="http://schemas.openxmlformats.org/officeDocument/2006/relationships" r:id="R2db20ad211d44085"/>
  </x:tableParts>
</x:worksheet>
</file>